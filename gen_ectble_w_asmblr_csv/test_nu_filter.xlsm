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dex" sheetId="1" r:id="rId1"/>
    <sheet name="Corners" sheetId="2" r:id="rId2"/>
    <sheet name="EC Table" sheetId="3" r:id="rId3"/>
    <sheet name="EC 1" sheetId="4" r:id="rId4"/>
    <sheet name="EC w Links" sheetId="5" r:id="rId5"/>
    <sheet name="ECL 1" sheetId="6" r:id="rId6"/>
  </sheets>
  <calcPr calcId="124519" fullCalcOnLoad="1"/>
</workbook>
</file>

<file path=xl/sharedStrings.xml><?xml version="1.0" encoding="utf-8"?>
<sst xmlns="http://schemas.openxmlformats.org/spreadsheetml/2006/main" count="631" uniqueCount="71">
  <si>
    <t>FF_0</t>
  </si>
  <si>
    <t>FF_1</t>
  </si>
  <si>
    <t>FF_2</t>
  </si>
  <si>
    <t>FS_0</t>
  </si>
  <si>
    <t>FS_1</t>
  </si>
  <si>
    <t>FS_2</t>
  </si>
  <si>
    <t>SF_0</t>
  </si>
  <si>
    <t>SF_1</t>
  </si>
  <si>
    <t>SF_2</t>
  </si>
  <si>
    <t>SS_0</t>
  </si>
  <si>
    <t>SS_1</t>
  </si>
  <si>
    <t>SS_2</t>
  </si>
  <si>
    <t>TT_0</t>
  </si>
  <si>
    <t>TT_1</t>
  </si>
  <si>
    <t>TT_2</t>
  </si>
  <si>
    <t>ff</t>
  </si>
  <si>
    <t>fs</t>
  </si>
  <si>
    <t>sf</t>
  </si>
  <si>
    <t>ss</t>
  </si>
  <si>
    <t>tt</t>
  </si>
  <si>
    <t>#</t>
  </si>
  <si>
    <t>Point</t>
  </si>
  <si>
    <t>Corner</t>
  </si>
  <si>
    <t>RES</t>
  </si>
  <si>
    <t>CAP</t>
  </si>
  <si>
    <t>DIO</t>
  </si>
  <si>
    <t>VDD</t>
  </si>
  <si>
    <t>BIAS</t>
  </si>
  <si>
    <t>A</t>
  </si>
  <si>
    <t>B</t>
  </si>
  <si>
    <t>TEMP</t>
  </si>
  <si>
    <t>Set</t>
  </si>
  <si>
    <t>Pass/Fail</t>
  </si>
  <si>
    <t>C</t>
  </si>
  <si>
    <t>D</t>
  </si>
  <si>
    <t>PCT</t>
  </si>
  <si>
    <t>PCT2</t>
  </si>
  <si>
    <t>E</t>
  </si>
  <si>
    <t>Max</t>
  </si>
  <si>
    <t>Min</t>
  </si>
  <si>
    <t>Mean</t>
  </si>
  <si>
    <t>m</t>
  </si>
  <si>
    <t>u</t>
  </si>
  <si>
    <t>n</t>
  </si>
  <si>
    <t>Point=1.0;Corner=FF_0;RES=-3.0;CAP=-3.0;DIO=-3.0;VDD=2.9;BIAS=10.0;A=255.0;B=128.0;TEMP=-35.0;Set=ff</t>
  </si>
  <si>
    <t>Point=7.0;Corner=SS_0;RES=3.0;CAP=3.0;DIO=3.0;VDD=3.0;BIAS=90.0;A=255.0;B=128.0;TEMP=-35.0;Set=ss</t>
  </si>
  <si>
    <t>Point=7.0;Corner=FF_0;RES=-3.0;CAP=-3.0;DIO=-3.0;VDD=3.0;BIAS=90.0;A=255.0;B=128.0;TEMP=-35.0;Set=ff</t>
  </si>
  <si>
    <t>Point=13.0;Corner=FF_0;RES=-3.0;CAP=-3.0;DIO=-3.0;VDD=4.9;BIAS=90.0;A=255.0;B=128.0;TEMP=-35.0;Set=ff</t>
  </si>
  <si>
    <t>Point=10.0;Corner=SS_2;RES=3.0;CAP=3.0;DIO=3.0;VDD=3.3;BIAS=90.0;A=255.0;B=128.0;TEMP=90.0;Set=ss</t>
  </si>
  <si>
    <t>Point=11.0;Corner=SS_2;RES=3.0;CAP=3.0;DIO=3.0;VDD=3.3;BIAS=90.0;A=128.0;B=255.0;TEMP=90.0;Set=ss</t>
  </si>
  <si>
    <t>Point=5.0;Corner=FF_0;RES=-3.0;CAP=-3.0;DIO=-3.0;VDD=2.9;BIAS=90.0;A=128.0;B=255.0;TEMP=-35.0;Set=ff</t>
  </si>
  <si>
    <t>Point=1.0;Corner=SS_0;RES=3.0;CAP=3.0;DIO=3.0;VDD=2.9;BIAS=10.0;A=255.0;B=128.0;TEMP=-35.0;Set=ss</t>
  </si>
  <si>
    <t>Point=5.0;Corner=SF_0;RES=0.0;CAP=0.0;DIO=0.0;VDD=2.9;BIAS=90.0;A=128.0;B=255.0;TEMP=-35.0;Set=sf</t>
  </si>
  <si>
    <t>Spec</t>
  </si>
  <si>
    <t>Units</t>
  </si>
  <si>
    <t>Typ</t>
  </si>
  <si>
    <t>Min Corner</t>
  </si>
  <si>
    <t>Max Corner</t>
  </si>
  <si>
    <t>Point=8.0;Corner=FF_0;RES=-3.0;CAP=-3.0;DIO=-3.0;VDD=3.0;BIAS=90.0;A=128.0;B=255.0;TEMP=-35.0;Set=ff</t>
  </si>
  <si>
    <t>Point=13.0;Corner=SF_0;RES=0.0;CAP=0.0;DIO=0.0;VDD=4.9;BIAS=90.0;A=255.0;B=128.0;TEMP=-35.0;Set=sf</t>
  </si>
  <si>
    <t>Point=10.0;Corner=SS_0;RES=3.0;CAP=3.0;DIO=3.0;VDD=3.3;BIAS=90.0;A=255.0;B=128.0;TEMP=-35.0;Set=ss</t>
  </si>
  <si>
    <t>Point=9.0;Corner=FS_0;RES=0.0;CAP=0.0;DIO=0.0;VDD=3.0;BIAS=90.0;A=128.0;B=160.0;TEMP=-35.0;Set=fs</t>
  </si>
  <si>
    <t>Originating specifier</t>
  </si>
  <si>
    <t>VDD&gt;2.9</t>
  </si>
  <si>
    <t>Plain</t>
  </si>
  <si>
    <t>EC 1</t>
  </si>
  <si>
    <t>w Links</t>
  </si>
  <si>
    <t>ECL 1</t>
  </si>
  <si>
    <t>EC Table</t>
  </si>
  <si>
    <t>EC w Links</t>
  </si>
  <si>
    <t xml:space="preserve">VDD&gt;2.9   = 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</si>
</sst>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justify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top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C4:F5" headerRowCount="0" totalsRowShown="0">
  <tableColumns count="4">
    <tableColumn id="1" name="Originating specifier"/>
    <tableColumn id="2" name="VAR1"/>
    <tableColumn id="3" name="Plain"/>
    <tableColumn id="4" name="w Links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7:S229" totalsRowShown="0">
  <autoFilter ref="B7:S229"/>
  <tableColumns count="18">
    <tableColumn id="1" name="#"/>
    <tableColumn id="2" name="Point"/>
    <tableColumn id="3" name="Corner"/>
    <tableColumn id="4" name="RES"/>
    <tableColumn id="5" name="CAP"/>
    <tableColumn id="6" name="DIO"/>
    <tableColumn id="7" name="VDD"/>
    <tableColumn id="8" name="BIAS"/>
    <tableColumn id="9" name="A"/>
    <tableColumn id="10" name="B"/>
    <tableColumn id="11" name="TEMP"/>
    <tableColumn id="12" name="Set"/>
    <tableColumn id="13" name="Pass/Fail"/>
    <tableColumn id="14" name="C"/>
    <tableColumn id="15" name="D"/>
    <tableColumn id="16" name="PCT"/>
    <tableColumn id="17" name="PCT2"/>
    <tableColumn id="18" name="E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3:J8" totalsRowShown="0">
  <tableColumns count="9">
    <tableColumn id="1" name="#"/>
    <tableColumn id="2" name="Spec"/>
    <tableColumn id="3" name="Units"/>
    <tableColumn id="4" name="Min"/>
    <tableColumn id="5" name="Typ"/>
    <tableColumn id="6" name="Max"/>
    <tableColumn id="7" name="Mean"/>
    <tableColumn id="8" name="Min Corner"/>
    <tableColumn id="9" name="Max Corner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B3:J8" totalsRowShown="0">
  <tableColumns count="9">
    <tableColumn id="1" name="#"/>
    <tableColumn id="2" name="Spec"/>
    <tableColumn id="3" name="Units"/>
    <tableColumn id="4" name="Min"/>
    <tableColumn id="5" name="Typ"/>
    <tableColumn id="6" name="Max"/>
    <tableColumn id="7" name="Mean"/>
    <tableColumn id="8" name="Min Corner"/>
    <tableColumn id="9" name="Max Corner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B3:J8" totalsRowShown="0">
  <tableColumns count="9">
    <tableColumn id="1" name="#"/>
    <tableColumn id="2" name="Spec"/>
    <tableColumn id="3" name="Units"/>
    <tableColumn id="4" name="Min"/>
    <tableColumn id="5" name="Typ"/>
    <tableColumn id="6" name="Max"/>
    <tableColumn id="7" name="Mean"/>
    <tableColumn id="8" name="Min Corner"/>
    <tableColumn id="9" name="Max Corner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B3:J8" totalsRowShown="0">
  <tableColumns count="9">
    <tableColumn id="1" name="#"/>
    <tableColumn id="2" name="Spec"/>
    <tableColumn id="3" name="Units"/>
    <tableColumn id="4" name="Min"/>
    <tableColumn id="5" name="Typ"/>
    <tableColumn id="6" name="Max"/>
    <tableColumn id="7" name="Mean"/>
    <tableColumn id="8" name="Min Corner"/>
    <tableColumn id="9" name="Max Corner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C3:F5"/>
  <sheetViews>
    <sheetView tabSelected="1" workbookViewId="0"/>
  </sheetViews>
  <sheetFormatPr defaultRowHeight="15"/>
  <cols>
    <col min="3" max="3" width="30.7109375" style="1" customWidth="1"/>
    <col min="4" max="6" width="10.7109375" style="2" customWidth="1"/>
  </cols>
  <sheetData>
    <row r="3" spans="3:6">
      <c r="E3" s="3" t="s">
        <v>68</v>
      </c>
      <c r="F3" s="4" t="s">
        <v>69</v>
      </c>
    </row>
    <row r="4" spans="3:6" s="5" customFormat="1">
      <c r="C4" s="5" t="s">
        <v>62</v>
      </c>
      <c r="E4" s="5" t="s">
        <v>64</v>
      </c>
      <c r="F4" s="5" t="s">
        <v>66</v>
      </c>
    </row>
    <row r="5" spans="3:6">
      <c r="C5" s="1" t="s">
        <v>63</v>
      </c>
      <c r="E5" s="3" t="s">
        <v>65</v>
      </c>
      <c r="F5" s="4" t="s">
        <v>67</v>
      </c>
    </row>
  </sheetData>
  <hyperlinks>
    <hyperlink ref="E3" location="'EC Table'!B3" display="EC Table"/>
    <hyperlink ref="F3" location="'EC w Links'!B3" display="EC w Links"/>
    <hyperlink ref="E5" location="'EC 1'!B3" display="EC 1"/>
    <hyperlink ref="F5" location="'ECL 1'!B3" display="ECL 1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229"/>
  <sheetViews>
    <sheetView workbookViewId="0"/>
  </sheetViews>
  <sheetFormatPr defaultRowHeight="15"/>
  <sheetData>
    <row r="1" spans="1:19">
      <c r="A1" t="s">
        <v>38</v>
      </c>
      <c r="C1">
        <f>ROUND(SUBTOTAL(104, Table2[Point]), 2)</f>
        <v>0</v>
      </c>
      <c r="D1">
        <f>ROUND(SUBTOTAL(104, Table2[Corner]), 2)</f>
        <v>0</v>
      </c>
      <c r="E1">
        <f>ROUND(SUBTOTAL(104, Table2[RES]), 2)</f>
        <v>0</v>
      </c>
      <c r="F1">
        <f>ROUND(SUBTOTAL(104, Table2[CAP]), 2)</f>
        <v>0</v>
      </c>
      <c r="G1">
        <f>ROUND(SUBTOTAL(104, Table2[DIO]), 2)</f>
        <v>0</v>
      </c>
      <c r="H1">
        <f>ROUND(SUBTOTAL(104, Table2[VDD]), 2)</f>
        <v>0</v>
      </c>
      <c r="I1">
        <f>ROUND(SUBTOTAL(104, Table2[BIAS]), 2)</f>
        <v>0</v>
      </c>
      <c r="J1">
        <f>ROUND(SUBTOTAL(104, Table2[A]), 2)</f>
        <v>0</v>
      </c>
      <c r="K1">
        <f>ROUND(SUBTOTAL(104, Table2[B]), 2)</f>
        <v>0</v>
      </c>
      <c r="L1">
        <f>ROUND(SUBTOTAL(104, Table2[TEMP]), 2)</f>
        <v>0</v>
      </c>
      <c r="M1">
        <f>ROUND(SUBTOTAL(104, Table2[Set]), 2)</f>
        <v>0</v>
      </c>
      <c r="N1">
        <f>ROUND(SUBTOTAL(104, Table2[Pass/Fail]), 2)</f>
        <v>0</v>
      </c>
      <c r="O1">
        <f>ROUND(SUBTOTAL(104, Table2[C]), 2)</f>
        <v>0</v>
      </c>
      <c r="P1">
        <f>ROUND(SUBTOTAL(104, Table2[D]), 2)</f>
        <v>0</v>
      </c>
      <c r="Q1">
        <f>ROUND(SUBTOTAL(104, Table2[PCT]), 2)</f>
        <v>0</v>
      </c>
      <c r="R1">
        <f>ROUND(SUBTOTAL(104, Table2[PCT2]), 2)</f>
        <v>0</v>
      </c>
      <c r="S1">
        <f>ROUND(SUBTOTAL(104, Table2[E]), 2)</f>
        <v>0</v>
      </c>
    </row>
    <row r="2" spans="1:19">
      <c r="A2" t="s">
        <v>39</v>
      </c>
      <c r="C2">
        <f>ROUND(SUBTOTAL(105, Table2[Point]), 2)</f>
        <v>0</v>
      </c>
      <c r="D2">
        <f>ROUND(SUBTOTAL(105, Table2[Corner]), 2)</f>
        <v>0</v>
      </c>
      <c r="E2">
        <f>ROUND(SUBTOTAL(105, Table2[RES]), 2)</f>
        <v>0</v>
      </c>
      <c r="F2">
        <f>ROUND(SUBTOTAL(105, Table2[CAP]), 2)</f>
        <v>0</v>
      </c>
      <c r="G2">
        <f>ROUND(SUBTOTAL(105, Table2[DIO]), 2)</f>
        <v>0</v>
      </c>
      <c r="H2">
        <f>ROUND(SUBTOTAL(105, Table2[VDD]), 2)</f>
        <v>0</v>
      </c>
      <c r="I2">
        <f>ROUND(SUBTOTAL(105, Table2[BIAS]), 2)</f>
        <v>0</v>
      </c>
      <c r="J2">
        <f>ROUND(SUBTOTAL(105, Table2[A]), 2)</f>
        <v>0</v>
      </c>
      <c r="K2">
        <f>ROUND(SUBTOTAL(105, Table2[B]), 2)</f>
        <v>0</v>
      </c>
      <c r="L2">
        <f>ROUND(SUBTOTAL(105, Table2[TEMP]), 2)</f>
        <v>0</v>
      </c>
      <c r="M2">
        <f>ROUND(SUBTOTAL(105, Table2[Set]), 2)</f>
        <v>0</v>
      </c>
      <c r="N2">
        <f>ROUND(SUBTOTAL(105, Table2[Pass/Fail]), 2)</f>
        <v>0</v>
      </c>
      <c r="O2">
        <f>ROUND(SUBTOTAL(105, Table2[C]), 2)</f>
        <v>0</v>
      </c>
      <c r="P2">
        <f>ROUND(SUBTOTAL(105, Table2[D]), 2)</f>
        <v>0</v>
      </c>
      <c r="Q2">
        <f>ROUND(SUBTOTAL(105, Table2[PCT]), 2)</f>
        <v>0</v>
      </c>
      <c r="R2">
        <f>ROUND(SUBTOTAL(105, Table2[PCT2]), 2)</f>
        <v>0</v>
      </c>
      <c r="S2">
        <f>ROUND(SUBTOTAL(105, Table2[E]), 2)</f>
        <v>0</v>
      </c>
    </row>
    <row r="3" spans="1:19">
      <c r="A3" t="s">
        <v>40</v>
      </c>
      <c r="O3">
        <f>ROUND(SUBTOTAL(101, Table2[C]), 2)</f>
        <v>0</v>
      </c>
      <c r="P3">
        <f>ROUND(SUBTOTAL(101, Table2[D]), 2)</f>
        <v>0</v>
      </c>
      <c r="Q3">
        <f>ROUND(SUBTOTAL(101, Table2[PCT]), 2)</f>
        <v>0</v>
      </c>
      <c r="R3">
        <f>ROUND(SUBTOTAL(101, Table2[PCT2]), 2)</f>
        <v>0</v>
      </c>
      <c r="S3">
        <f>ROUND(SUBTOTAL(101, Table2[E]), 2)</f>
        <v>0</v>
      </c>
    </row>
    <row r="5" spans="1:19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J5" t="s">
        <v>28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37</v>
      </c>
    </row>
    <row r="6" spans="1:19">
      <c r="O6" t="s">
        <v>41</v>
      </c>
      <c r="P6" t="s">
        <v>41</v>
      </c>
      <c r="R6" t="s">
        <v>42</v>
      </c>
      <c r="S6" t="s">
        <v>43</v>
      </c>
    </row>
    <row r="7" spans="1:19">
      <c r="B7" t="s">
        <v>20</v>
      </c>
      <c r="C7" t="s">
        <v>21</v>
      </c>
      <c r="D7" t="s">
        <v>22</v>
      </c>
      <c r="E7" t="s">
        <v>23</v>
      </c>
      <c r="F7" t="s">
        <v>24</v>
      </c>
      <c r="G7" t="s">
        <v>25</v>
      </c>
      <c r="H7" t="s">
        <v>26</v>
      </c>
      <c r="I7" t="s">
        <v>27</v>
      </c>
      <c r="J7" t="s">
        <v>28</v>
      </c>
      <c r="K7" t="s">
        <v>29</v>
      </c>
      <c r="L7" t="s">
        <v>30</v>
      </c>
      <c r="M7" t="s">
        <v>31</v>
      </c>
      <c r="N7" t="s">
        <v>32</v>
      </c>
      <c r="O7" t="s">
        <v>33</v>
      </c>
      <c r="P7" t="s">
        <v>34</v>
      </c>
      <c r="Q7" t="s">
        <v>35</v>
      </c>
      <c r="R7" t="s">
        <v>36</v>
      </c>
      <c r="S7" t="s">
        <v>37</v>
      </c>
    </row>
    <row r="8" spans="1:19">
      <c r="B8" s="6">
        <v>0</v>
      </c>
      <c r="C8">
        <v>1</v>
      </c>
      <c r="D8" t="s">
        <v>0</v>
      </c>
      <c r="E8">
        <v>-3</v>
      </c>
      <c r="F8">
        <v>-3</v>
      </c>
      <c r="G8">
        <v>-3</v>
      </c>
      <c r="H8">
        <v>2.9</v>
      </c>
      <c r="I8">
        <v>10</v>
      </c>
      <c r="J8">
        <v>255</v>
      </c>
      <c r="K8">
        <v>128</v>
      </c>
      <c r="L8">
        <v>-35</v>
      </c>
      <c r="M8" t="s">
        <v>15</v>
      </c>
      <c r="O8">
        <v>0</v>
      </c>
      <c r="P8">
        <v>0</v>
      </c>
      <c r="Q8">
        <v>189400000</v>
      </c>
      <c r="R8">
        <v>3.906</v>
      </c>
      <c r="S8">
        <v>1213</v>
      </c>
    </row>
    <row r="9" spans="1:19">
      <c r="B9" s="6">
        <v>1</v>
      </c>
      <c r="C9">
        <v>1</v>
      </c>
      <c r="D9" t="s">
        <v>1</v>
      </c>
      <c r="E9">
        <v>-3</v>
      </c>
      <c r="F9">
        <v>-3</v>
      </c>
      <c r="G9">
        <v>-3</v>
      </c>
      <c r="H9">
        <v>2.9</v>
      </c>
      <c r="I9">
        <v>10</v>
      </c>
      <c r="J9">
        <v>255</v>
      </c>
      <c r="K9">
        <v>128</v>
      </c>
      <c r="L9">
        <v>27</v>
      </c>
      <c r="M9" t="s">
        <v>15</v>
      </c>
      <c r="O9">
        <v>1.902</v>
      </c>
      <c r="P9">
        <v>0.967</v>
      </c>
      <c r="Q9">
        <v>40.76</v>
      </c>
      <c r="R9">
        <v>2.399</v>
      </c>
      <c r="S9">
        <v>10.2</v>
      </c>
    </row>
    <row r="10" spans="1:19">
      <c r="B10" s="6">
        <v>2</v>
      </c>
      <c r="C10">
        <v>1</v>
      </c>
      <c r="D10" t="s">
        <v>2</v>
      </c>
      <c r="E10">
        <v>-3</v>
      </c>
      <c r="F10">
        <v>-3</v>
      </c>
      <c r="G10">
        <v>-3</v>
      </c>
      <c r="H10">
        <v>2.9</v>
      </c>
      <c r="I10">
        <v>10</v>
      </c>
      <c r="J10">
        <v>255</v>
      </c>
      <c r="K10">
        <v>128</v>
      </c>
      <c r="L10">
        <v>90</v>
      </c>
      <c r="M10" t="s">
        <v>15</v>
      </c>
      <c r="O10">
        <v>2.39</v>
      </c>
      <c r="P10">
        <v>1.2</v>
      </c>
      <c r="Q10">
        <v>18.72</v>
      </c>
      <c r="R10">
        <v>2.006</v>
      </c>
      <c r="S10">
        <v>9.444000000000001</v>
      </c>
    </row>
    <row r="11" spans="1:19">
      <c r="B11" s="6">
        <v>3</v>
      </c>
      <c r="C11">
        <v>1</v>
      </c>
      <c r="D11" t="s">
        <v>3</v>
      </c>
      <c r="E11">
        <v>0</v>
      </c>
      <c r="F11">
        <v>0</v>
      </c>
      <c r="G11">
        <v>0</v>
      </c>
      <c r="H11">
        <v>2.9</v>
      </c>
      <c r="I11">
        <v>10</v>
      </c>
      <c r="J11">
        <v>255</v>
      </c>
      <c r="K11">
        <v>128</v>
      </c>
      <c r="L11">
        <v>-35</v>
      </c>
      <c r="M11" t="s">
        <v>16</v>
      </c>
      <c r="O11">
        <v>0</v>
      </c>
      <c r="P11">
        <v>0</v>
      </c>
      <c r="Q11">
        <v>107900000</v>
      </c>
      <c r="R11">
        <v>3.807</v>
      </c>
      <c r="S11">
        <v>2269</v>
      </c>
    </row>
    <row r="12" spans="1:19">
      <c r="B12" s="6">
        <v>4</v>
      </c>
      <c r="C12">
        <v>1</v>
      </c>
      <c r="D12" t="s">
        <v>4</v>
      </c>
      <c r="E12">
        <v>0</v>
      </c>
      <c r="F12">
        <v>0</v>
      </c>
      <c r="G12">
        <v>0</v>
      </c>
      <c r="H12">
        <v>2.9</v>
      </c>
      <c r="I12">
        <v>10</v>
      </c>
      <c r="J12">
        <v>255</v>
      </c>
      <c r="K12">
        <v>128</v>
      </c>
      <c r="L12">
        <v>27</v>
      </c>
      <c r="M12" t="s">
        <v>16</v>
      </c>
      <c r="O12">
        <v>1.945</v>
      </c>
      <c r="P12">
        <v>1.002</v>
      </c>
      <c r="Q12">
        <v>34.72</v>
      </c>
      <c r="R12">
        <v>2.624</v>
      </c>
      <c r="S12">
        <v>27.95</v>
      </c>
    </row>
    <row r="13" spans="1:19">
      <c r="B13" s="6">
        <v>5</v>
      </c>
      <c r="C13">
        <v>1</v>
      </c>
      <c r="D13" t="s">
        <v>5</v>
      </c>
      <c r="E13">
        <v>0</v>
      </c>
      <c r="F13">
        <v>0</v>
      </c>
      <c r="G13">
        <v>0</v>
      </c>
      <c r="H13">
        <v>2.9</v>
      </c>
      <c r="I13">
        <v>10</v>
      </c>
      <c r="J13">
        <v>255</v>
      </c>
      <c r="K13">
        <v>128</v>
      </c>
      <c r="L13">
        <v>90</v>
      </c>
      <c r="M13" t="s">
        <v>16</v>
      </c>
      <c r="O13">
        <v>2.464</v>
      </c>
      <c r="P13">
        <v>1.238</v>
      </c>
      <c r="Q13">
        <v>16.52</v>
      </c>
      <c r="R13">
        <v>1.952</v>
      </c>
      <c r="S13">
        <v>19.85</v>
      </c>
    </row>
    <row r="14" spans="1:19">
      <c r="B14" s="6">
        <v>6</v>
      </c>
      <c r="C14">
        <v>1</v>
      </c>
      <c r="D14" t="s">
        <v>6</v>
      </c>
      <c r="E14">
        <v>0</v>
      </c>
      <c r="F14">
        <v>0</v>
      </c>
      <c r="G14">
        <v>0</v>
      </c>
      <c r="H14">
        <v>2.9</v>
      </c>
      <c r="I14">
        <v>10</v>
      </c>
      <c r="J14">
        <v>255</v>
      </c>
      <c r="K14">
        <v>128</v>
      </c>
      <c r="L14">
        <v>-35</v>
      </c>
      <c r="M14" t="s">
        <v>17</v>
      </c>
      <c r="O14">
        <v>0</v>
      </c>
      <c r="P14">
        <v>0</v>
      </c>
      <c r="Q14">
        <v>82990000</v>
      </c>
      <c r="R14">
        <v>4.192</v>
      </c>
      <c r="S14">
        <v>1297</v>
      </c>
    </row>
    <row r="15" spans="1:19">
      <c r="B15" s="6">
        <v>7</v>
      </c>
      <c r="C15">
        <v>1</v>
      </c>
      <c r="D15" t="s">
        <v>7</v>
      </c>
      <c r="E15">
        <v>0</v>
      </c>
      <c r="F15">
        <v>0</v>
      </c>
      <c r="G15">
        <v>0</v>
      </c>
      <c r="H15">
        <v>2.9</v>
      </c>
      <c r="I15">
        <v>10</v>
      </c>
      <c r="J15">
        <v>255</v>
      </c>
      <c r="K15">
        <v>128</v>
      </c>
      <c r="L15">
        <v>27</v>
      </c>
      <c r="M15" t="s">
        <v>17</v>
      </c>
      <c r="O15">
        <v>1.973</v>
      </c>
      <c r="P15">
        <v>1.003</v>
      </c>
      <c r="Q15">
        <v>36.92</v>
      </c>
      <c r="R15">
        <v>2.829</v>
      </c>
      <c r="S15">
        <v>10.69</v>
      </c>
    </row>
    <row r="16" spans="1:19">
      <c r="B16" s="6">
        <v>8</v>
      </c>
      <c r="C16">
        <v>1</v>
      </c>
      <c r="D16" t="s">
        <v>8</v>
      </c>
      <c r="E16">
        <v>0</v>
      </c>
      <c r="F16">
        <v>0</v>
      </c>
      <c r="G16">
        <v>0</v>
      </c>
      <c r="H16">
        <v>2.9</v>
      </c>
      <c r="I16">
        <v>10</v>
      </c>
      <c r="J16">
        <v>255</v>
      </c>
      <c r="K16">
        <v>128</v>
      </c>
      <c r="L16">
        <v>90</v>
      </c>
      <c r="M16" t="s">
        <v>17</v>
      </c>
      <c r="O16">
        <v>2.463</v>
      </c>
      <c r="P16">
        <v>1.237</v>
      </c>
      <c r="Q16">
        <v>14.54</v>
      </c>
      <c r="R16">
        <v>2.396</v>
      </c>
      <c r="S16">
        <v>9.960000000000001</v>
      </c>
    </row>
    <row r="17" spans="2:19">
      <c r="B17" s="6">
        <v>9</v>
      </c>
      <c r="C17">
        <v>1</v>
      </c>
      <c r="D17" t="s">
        <v>9</v>
      </c>
      <c r="E17">
        <v>3</v>
      </c>
      <c r="F17">
        <v>3</v>
      </c>
      <c r="G17">
        <v>3</v>
      </c>
      <c r="H17">
        <v>2.9</v>
      </c>
      <c r="I17">
        <v>10</v>
      </c>
      <c r="J17">
        <v>255</v>
      </c>
      <c r="K17">
        <v>128</v>
      </c>
      <c r="L17">
        <v>-35</v>
      </c>
      <c r="M17" t="s">
        <v>18</v>
      </c>
      <c r="O17">
        <v>0</v>
      </c>
      <c r="P17">
        <v>0</v>
      </c>
      <c r="Q17">
        <v>8387000</v>
      </c>
      <c r="R17">
        <v>4.578</v>
      </c>
      <c r="S17">
        <v>2348</v>
      </c>
    </row>
    <row r="18" spans="2:19">
      <c r="B18" s="6">
        <v>10</v>
      </c>
      <c r="C18">
        <v>1</v>
      </c>
      <c r="D18" t="s">
        <v>10</v>
      </c>
      <c r="E18">
        <v>3</v>
      </c>
      <c r="F18">
        <v>3</v>
      </c>
      <c r="G18">
        <v>3</v>
      </c>
      <c r="H18">
        <v>2.9</v>
      </c>
      <c r="I18">
        <v>10</v>
      </c>
      <c r="J18">
        <v>255</v>
      </c>
      <c r="K18">
        <v>128</v>
      </c>
      <c r="L18">
        <v>27</v>
      </c>
      <c r="M18" t="s">
        <v>18</v>
      </c>
      <c r="O18">
        <v>2.02</v>
      </c>
      <c r="P18">
        <v>1.038</v>
      </c>
      <c r="Q18">
        <v>31.77</v>
      </c>
      <c r="R18">
        <v>3.088</v>
      </c>
      <c r="S18">
        <v>26.6</v>
      </c>
    </row>
    <row r="19" spans="2:19">
      <c r="B19" s="6">
        <v>11</v>
      </c>
      <c r="C19">
        <v>1</v>
      </c>
      <c r="D19" t="s">
        <v>11</v>
      </c>
      <c r="E19">
        <v>3</v>
      </c>
      <c r="F19">
        <v>3</v>
      </c>
      <c r="G19">
        <v>3</v>
      </c>
      <c r="H19">
        <v>2.9</v>
      </c>
      <c r="I19">
        <v>10</v>
      </c>
      <c r="J19">
        <v>255</v>
      </c>
      <c r="K19">
        <v>128</v>
      </c>
      <c r="L19">
        <v>90</v>
      </c>
      <c r="M19" t="s">
        <v>18</v>
      </c>
      <c r="O19">
        <v>2.508</v>
      </c>
      <c r="P19">
        <v>1.26</v>
      </c>
      <c r="Q19">
        <v>14.22</v>
      </c>
      <c r="R19">
        <v>2.349</v>
      </c>
      <c r="S19">
        <v>18.28</v>
      </c>
    </row>
    <row r="20" spans="2:19">
      <c r="B20" s="6">
        <v>12</v>
      </c>
      <c r="C20">
        <v>1</v>
      </c>
      <c r="D20" t="s">
        <v>12</v>
      </c>
      <c r="E20">
        <v>0</v>
      </c>
      <c r="F20">
        <v>0</v>
      </c>
      <c r="G20">
        <v>0</v>
      </c>
      <c r="H20">
        <v>2.9</v>
      </c>
      <c r="I20">
        <v>10</v>
      </c>
      <c r="J20">
        <v>255</v>
      </c>
      <c r="K20">
        <v>128</v>
      </c>
      <c r="L20">
        <v>-35</v>
      </c>
      <c r="M20" t="s">
        <v>19</v>
      </c>
      <c r="O20">
        <v>0</v>
      </c>
      <c r="P20">
        <v>0</v>
      </c>
      <c r="Q20">
        <v>73400000</v>
      </c>
      <c r="R20">
        <v>3.625</v>
      </c>
      <c r="S20">
        <v>1715</v>
      </c>
    </row>
    <row r="21" spans="2:19">
      <c r="B21" s="6">
        <v>13</v>
      </c>
      <c r="C21">
        <v>1</v>
      </c>
      <c r="D21" t="s">
        <v>13</v>
      </c>
      <c r="E21">
        <v>0</v>
      </c>
      <c r="F21">
        <v>0</v>
      </c>
      <c r="G21">
        <v>0</v>
      </c>
      <c r="H21">
        <v>2.9</v>
      </c>
      <c r="I21">
        <v>10</v>
      </c>
      <c r="J21">
        <v>255</v>
      </c>
      <c r="K21">
        <v>128</v>
      </c>
      <c r="L21">
        <v>27</v>
      </c>
      <c r="M21" t="s">
        <v>19</v>
      </c>
      <c r="O21">
        <v>1.964</v>
      </c>
      <c r="P21">
        <v>1.002</v>
      </c>
      <c r="Q21">
        <v>36.69</v>
      </c>
      <c r="R21">
        <v>2.681</v>
      </c>
      <c r="S21">
        <v>15</v>
      </c>
    </row>
    <row r="22" spans="2:19">
      <c r="B22" s="6">
        <v>14</v>
      </c>
      <c r="C22">
        <v>1</v>
      </c>
      <c r="D22" t="s">
        <v>14</v>
      </c>
      <c r="E22">
        <v>0</v>
      </c>
      <c r="F22">
        <v>0</v>
      </c>
      <c r="G22">
        <v>0</v>
      </c>
      <c r="H22">
        <v>2.9</v>
      </c>
      <c r="I22">
        <v>10</v>
      </c>
      <c r="J22">
        <v>255</v>
      </c>
      <c r="K22">
        <v>128</v>
      </c>
      <c r="L22">
        <v>90</v>
      </c>
      <c r="M22" t="s">
        <v>19</v>
      </c>
      <c r="O22">
        <v>2.463</v>
      </c>
      <c r="P22">
        <v>1.237</v>
      </c>
      <c r="Q22">
        <v>14.24</v>
      </c>
      <c r="R22">
        <v>2.145</v>
      </c>
      <c r="S22">
        <v>12.09</v>
      </c>
    </row>
    <row r="23" spans="2:19">
      <c r="B23" s="6">
        <v>15</v>
      </c>
      <c r="C23">
        <v>2</v>
      </c>
      <c r="D23" t="s">
        <v>0</v>
      </c>
      <c r="E23">
        <v>-3</v>
      </c>
      <c r="F23">
        <v>-3</v>
      </c>
      <c r="G23">
        <v>-3</v>
      </c>
      <c r="H23">
        <v>2.9</v>
      </c>
      <c r="I23">
        <v>10</v>
      </c>
      <c r="J23">
        <v>128</v>
      </c>
      <c r="K23">
        <v>255</v>
      </c>
      <c r="L23">
        <v>-35</v>
      </c>
      <c r="M23" t="s">
        <v>15</v>
      </c>
      <c r="O23">
        <v>0</v>
      </c>
      <c r="P23">
        <v>0</v>
      </c>
      <c r="Q23">
        <v>193100000</v>
      </c>
      <c r="R23">
        <v>3.613</v>
      </c>
      <c r="S23">
        <v>7048</v>
      </c>
    </row>
    <row r="24" spans="2:19">
      <c r="B24" s="6">
        <v>16</v>
      </c>
      <c r="C24">
        <v>2</v>
      </c>
      <c r="D24" t="s">
        <v>1</v>
      </c>
      <c r="E24">
        <v>-3</v>
      </c>
      <c r="F24">
        <v>-3</v>
      </c>
      <c r="G24">
        <v>-3</v>
      </c>
      <c r="H24">
        <v>2.9</v>
      </c>
      <c r="I24">
        <v>10</v>
      </c>
      <c r="J24">
        <v>128</v>
      </c>
      <c r="K24">
        <v>255</v>
      </c>
      <c r="L24">
        <v>27</v>
      </c>
      <c r="M24" t="s">
        <v>15</v>
      </c>
      <c r="O24">
        <v>0.967</v>
      </c>
      <c r="P24">
        <v>1.902</v>
      </c>
      <c r="Q24">
        <v>42.81</v>
      </c>
      <c r="R24">
        <v>2.397</v>
      </c>
      <c r="S24">
        <v>120.1</v>
      </c>
    </row>
    <row r="25" spans="2:19">
      <c r="B25" s="6">
        <v>17</v>
      </c>
      <c r="C25">
        <v>2</v>
      </c>
      <c r="D25" t="s">
        <v>2</v>
      </c>
      <c r="E25">
        <v>-3</v>
      </c>
      <c r="F25">
        <v>-3</v>
      </c>
      <c r="G25">
        <v>-3</v>
      </c>
      <c r="H25">
        <v>2.9</v>
      </c>
      <c r="I25">
        <v>10</v>
      </c>
      <c r="J25">
        <v>128</v>
      </c>
      <c r="K25">
        <v>255</v>
      </c>
      <c r="L25">
        <v>90</v>
      </c>
      <c r="M25" t="s">
        <v>15</v>
      </c>
      <c r="O25">
        <v>1.2</v>
      </c>
      <c r="P25">
        <v>2.39</v>
      </c>
      <c r="Q25">
        <v>18.66</v>
      </c>
      <c r="R25">
        <v>2.003</v>
      </c>
      <c r="S25">
        <v>115.8</v>
      </c>
    </row>
    <row r="26" spans="2:19">
      <c r="B26" s="6">
        <v>18</v>
      </c>
      <c r="C26">
        <v>2</v>
      </c>
      <c r="D26" t="s">
        <v>3</v>
      </c>
      <c r="E26">
        <v>0</v>
      </c>
      <c r="F26">
        <v>0</v>
      </c>
      <c r="G26">
        <v>0</v>
      </c>
      <c r="H26">
        <v>2.9</v>
      </c>
      <c r="I26">
        <v>10</v>
      </c>
      <c r="J26">
        <v>128</v>
      </c>
      <c r="K26">
        <v>255</v>
      </c>
      <c r="L26">
        <v>-35</v>
      </c>
      <c r="M26" t="s">
        <v>16</v>
      </c>
      <c r="O26">
        <v>0</v>
      </c>
      <c r="P26">
        <v>0</v>
      </c>
      <c r="Q26">
        <v>97860000</v>
      </c>
      <c r="R26">
        <v>3.774</v>
      </c>
    </row>
    <row r="27" spans="2:19">
      <c r="B27" s="6">
        <v>19</v>
      </c>
      <c r="C27">
        <v>2</v>
      </c>
      <c r="D27" t="s">
        <v>4</v>
      </c>
      <c r="E27">
        <v>0</v>
      </c>
      <c r="F27">
        <v>0</v>
      </c>
      <c r="G27">
        <v>0</v>
      </c>
      <c r="H27">
        <v>2.9</v>
      </c>
      <c r="I27">
        <v>10</v>
      </c>
      <c r="J27">
        <v>128</v>
      </c>
      <c r="K27">
        <v>255</v>
      </c>
      <c r="L27">
        <v>27</v>
      </c>
      <c r="M27" t="s">
        <v>16</v>
      </c>
      <c r="O27">
        <v>1.001</v>
      </c>
      <c r="P27">
        <v>1.945</v>
      </c>
      <c r="Q27">
        <v>38.99</v>
      </c>
      <c r="R27">
        <v>2.628</v>
      </c>
      <c r="S27">
        <v>211.8</v>
      </c>
    </row>
    <row r="28" spans="2:19">
      <c r="B28" s="6">
        <v>20</v>
      </c>
      <c r="C28">
        <v>2</v>
      </c>
      <c r="D28" t="s">
        <v>5</v>
      </c>
      <c r="E28">
        <v>0</v>
      </c>
      <c r="F28">
        <v>0</v>
      </c>
      <c r="G28">
        <v>0</v>
      </c>
      <c r="H28">
        <v>2.9</v>
      </c>
      <c r="I28">
        <v>10</v>
      </c>
      <c r="J28">
        <v>128</v>
      </c>
      <c r="K28">
        <v>255</v>
      </c>
      <c r="L28">
        <v>90</v>
      </c>
      <c r="M28" t="s">
        <v>16</v>
      </c>
      <c r="O28">
        <v>1.238</v>
      </c>
      <c r="P28">
        <v>2.464</v>
      </c>
      <c r="Q28">
        <v>16.63</v>
      </c>
      <c r="R28">
        <v>1.945</v>
      </c>
      <c r="S28">
        <v>178.3</v>
      </c>
    </row>
    <row r="29" spans="2:19">
      <c r="B29" s="6">
        <v>21</v>
      </c>
      <c r="C29">
        <v>2</v>
      </c>
      <c r="D29" t="s">
        <v>6</v>
      </c>
      <c r="E29">
        <v>0</v>
      </c>
      <c r="F29">
        <v>0</v>
      </c>
      <c r="G29">
        <v>0</v>
      </c>
      <c r="H29">
        <v>2.9</v>
      </c>
      <c r="I29">
        <v>10</v>
      </c>
      <c r="J29">
        <v>128</v>
      </c>
      <c r="K29">
        <v>255</v>
      </c>
      <c r="L29">
        <v>-35</v>
      </c>
      <c r="M29" t="s">
        <v>17</v>
      </c>
      <c r="O29">
        <v>0</v>
      </c>
      <c r="P29">
        <v>0</v>
      </c>
      <c r="Q29">
        <v>95290000</v>
      </c>
      <c r="R29">
        <v>4.143</v>
      </c>
      <c r="S29">
        <v>8711</v>
      </c>
    </row>
    <row r="30" spans="2:19">
      <c r="B30" s="6">
        <v>22</v>
      </c>
      <c r="C30">
        <v>2</v>
      </c>
      <c r="D30" t="s">
        <v>7</v>
      </c>
      <c r="E30">
        <v>0</v>
      </c>
      <c r="F30">
        <v>0</v>
      </c>
      <c r="G30">
        <v>0</v>
      </c>
      <c r="H30">
        <v>2.9</v>
      </c>
      <c r="I30">
        <v>10</v>
      </c>
      <c r="J30">
        <v>128</v>
      </c>
      <c r="K30">
        <v>255</v>
      </c>
      <c r="L30">
        <v>27</v>
      </c>
      <c r="M30" t="s">
        <v>17</v>
      </c>
      <c r="O30">
        <v>1.003</v>
      </c>
      <c r="P30">
        <v>1.973</v>
      </c>
      <c r="Q30">
        <v>38.61</v>
      </c>
      <c r="R30">
        <v>2.826</v>
      </c>
      <c r="S30">
        <v>104.4</v>
      </c>
    </row>
    <row r="31" spans="2:19">
      <c r="B31" s="6">
        <v>23</v>
      </c>
      <c r="C31">
        <v>2</v>
      </c>
      <c r="D31" t="s">
        <v>8</v>
      </c>
      <c r="E31">
        <v>0</v>
      </c>
      <c r="F31">
        <v>0</v>
      </c>
      <c r="G31">
        <v>0</v>
      </c>
      <c r="H31">
        <v>2.9</v>
      </c>
      <c r="I31">
        <v>10</v>
      </c>
      <c r="J31">
        <v>128</v>
      </c>
      <c r="K31">
        <v>255</v>
      </c>
      <c r="L31">
        <v>90</v>
      </c>
      <c r="M31" t="s">
        <v>17</v>
      </c>
      <c r="O31">
        <v>1.237</v>
      </c>
      <c r="P31">
        <v>2.463</v>
      </c>
      <c r="Q31">
        <v>14.56</v>
      </c>
      <c r="R31">
        <v>2.392</v>
      </c>
      <c r="S31">
        <v>99.94</v>
      </c>
    </row>
    <row r="32" spans="2:19">
      <c r="B32" s="6">
        <v>24</v>
      </c>
      <c r="C32">
        <v>2</v>
      </c>
      <c r="D32" t="s">
        <v>9</v>
      </c>
      <c r="E32">
        <v>3</v>
      </c>
      <c r="F32">
        <v>3</v>
      </c>
      <c r="G32">
        <v>3</v>
      </c>
      <c r="H32">
        <v>2.9</v>
      </c>
      <c r="I32">
        <v>10</v>
      </c>
      <c r="J32">
        <v>128</v>
      </c>
      <c r="K32">
        <v>255</v>
      </c>
      <c r="L32">
        <v>-35</v>
      </c>
      <c r="M32" t="s">
        <v>18</v>
      </c>
      <c r="O32">
        <v>0</v>
      </c>
      <c r="P32">
        <v>0</v>
      </c>
      <c r="Q32">
        <v>44310000</v>
      </c>
      <c r="R32">
        <v>4.512</v>
      </c>
    </row>
    <row r="33" spans="2:19">
      <c r="B33" s="6">
        <v>25</v>
      </c>
      <c r="C33">
        <v>2</v>
      </c>
      <c r="D33" t="s">
        <v>10</v>
      </c>
      <c r="E33">
        <v>3</v>
      </c>
      <c r="F33">
        <v>3</v>
      </c>
      <c r="G33">
        <v>3</v>
      </c>
      <c r="H33">
        <v>2.9</v>
      </c>
      <c r="I33">
        <v>10</v>
      </c>
      <c r="J33">
        <v>128</v>
      </c>
      <c r="K33">
        <v>255</v>
      </c>
      <c r="L33">
        <v>27</v>
      </c>
      <c r="M33" t="s">
        <v>18</v>
      </c>
      <c r="O33">
        <v>1.038</v>
      </c>
      <c r="P33">
        <v>2.02</v>
      </c>
      <c r="Q33">
        <v>34.96</v>
      </c>
      <c r="R33">
        <v>3.093</v>
      </c>
      <c r="S33">
        <v>183.3</v>
      </c>
    </row>
    <row r="34" spans="2:19">
      <c r="B34" s="6">
        <v>26</v>
      </c>
      <c r="C34">
        <v>2</v>
      </c>
      <c r="D34" t="s">
        <v>11</v>
      </c>
      <c r="E34">
        <v>3</v>
      </c>
      <c r="F34">
        <v>3</v>
      </c>
      <c r="G34">
        <v>3</v>
      </c>
      <c r="H34">
        <v>2.9</v>
      </c>
      <c r="I34">
        <v>10</v>
      </c>
      <c r="J34">
        <v>128</v>
      </c>
      <c r="K34">
        <v>255</v>
      </c>
      <c r="L34">
        <v>90</v>
      </c>
      <c r="M34" t="s">
        <v>18</v>
      </c>
      <c r="O34">
        <v>1.26</v>
      </c>
      <c r="P34">
        <v>2.508</v>
      </c>
      <c r="Q34">
        <v>14.3</v>
      </c>
      <c r="R34">
        <v>2.342</v>
      </c>
      <c r="S34">
        <v>157.7</v>
      </c>
    </row>
    <row r="35" spans="2:19">
      <c r="B35" s="6">
        <v>27</v>
      </c>
      <c r="C35">
        <v>2</v>
      </c>
      <c r="D35" t="s">
        <v>12</v>
      </c>
      <c r="E35">
        <v>0</v>
      </c>
      <c r="F35">
        <v>0</v>
      </c>
      <c r="G35">
        <v>0</v>
      </c>
      <c r="H35">
        <v>2.9</v>
      </c>
      <c r="I35">
        <v>10</v>
      </c>
      <c r="J35">
        <v>128</v>
      </c>
      <c r="K35">
        <v>255</v>
      </c>
      <c r="L35">
        <v>-35</v>
      </c>
      <c r="M35" t="s">
        <v>19</v>
      </c>
      <c r="O35">
        <v>0</v>
      </c>
      <c r="P35">
        <v>0</v>
      </c>
      <c r="Q35">
        <v>129500000</v>
      </c>
      <c r="R35">
        <v>3.838</v>
      </c>
    </row>
    <row r="36" spans="2:19">
      <c r="B36" s="6">
        <v>28</v>
      </c>
      <c r="C36">
        <v>2</v>
      </c>
      <c r="D36" t="s">
        <v>13</v>
      </c>
      <c r="E36">
        <v>0</v>
      </c>
      <c r="F36">
        <v>0</v>
      </c>
      <c r="G36">
        <v>0</v>
      </c>
      <c r="H36">
        <v>2.9</v>
      </c>
      <c r="I36">
        <v>10</v>
      </c>
      <c r="J36">
        <v>128</v>
      </c>
      <c r="K36">
        <v>255</v>
      </c>
      <c r="L36">
        <v>27</v>
      </c>
      <c r="M36" t="s">
        <v>19</v>
      </c>
      <c r="O36">
        <v>1.002</v>
      </c>
      <c r="P36">
        <v>1.964</v>
      </c>
      <c r="Q36">
        <v>38.9</v>
      </c>
      <c r="R36">
        <v>2.681</v>
      </c>
      <c r="S36">
        <v>152.2</v>
      </c>
    </row>
    <row r="37" spans="2:19">
      <c r="B37" s="6">
        <v>29</v>
      </c>
      <c r="C37">
        <v>2</v>
      </c>
      <c r="D37" t="s">
        <v>14</v>
      </c>
      <c r="E37">
        <v>0</v>
      </c>
      <c r="F37">
        <v>0</v>
      </c>
      <c r="G37">
        <v>0</v>
      </c>
      <c r="H37">
        <v>2.9</v>
      </c>
      <c r="I37">
        <v>10</v>
      </c>
      <c r="J37">
        <v>128</v>
      </c>
      <c r="K37">
        <v>255</v>
      </c>
      <c r="L37">
        <v>90</v>
      </c>
      <c r="M37" t="s">
        <v>19</v>
      </c>
      <c r="O37">
        <v>1.237</v>
      </c>
      <c r="P37">
        <v>2.463</v>
      </c>
      <c r="Q37">
        <v>14.23</v>
      </c>
      <c r="R37">
        <v>2.141</v>
      </c>
      <c r="S37">
        <v>142.2</v>
      </c>
    </row>
    <row r="38" spans="2:19">
      <c r="B38" s="6">
        <v>30</v>
      </c>
      <c r="C38">
        <v>3</v>
      </c>
      <c r="D38" t="s">
        <v>0</v>
      </c>
      <c r="E38">
        <v>-3</v>
      </c>
      <c r="F38">
        <v>-3</v>
      </c>
      <c r="G38">
        <v>-3</v>
      </c>
      <c r="H38">
        <v>2.9</v>
      </c>
      <c r="I38">
        <v>10</v>
      </c>
      <c r="J38">
        <v>128</v>
      </c>
      <c r="K38">
        <v>160</v>
      </c>
      <c r="L38">
        <v>-35</v>
      </c>
      <c r="M38" t="s">
        <v>15</v>
      </c>
      <c r="O38">
        <v>0</v>
      </c>
      <c r="P38">
        <v>0</v>
      </c>
      <c r="Q38">
        <v>193100000</v>
      </c>
      <c r="R38">
        <v>3.613</v>
      </c>
    </row>
    <row r="39" spans="2:19">
      <c r="B39" s="6">
        <v>31</v>
      </c>
      <c r="C39">
        <v>3</v>
      </c>
      <c r="D39" t="s">
        <v>1</v>
      </c>
      <c r="E39">
        <v>-3</v>
      </c>
      <c r="F39">
        <v>-3</v>
      </c>
      <c r="G39">
        <v>-3</v>
      </c>
      <c r="H39">
        <v>2.9</v>
      </c>
      <c r="I39">
        <v>10</v>
      </c>
      <c r="J39">
        <v>128</v>
      </c>
      <c r="K39">
        <v>160</v>
      </c>
      <c r="L39">
        <v>27</v>
      </c>
      <c r="M39" t="s">
        <v>15</v>
      </c>
      <c r="O39">
        <v>0.967</v>
      </c>
      <c r="P39">
        <v>1.206</v>
      </c>
      <c r="Q39">
        <v>42.81</v>
      </c>
      <c r="R39">
        <v>2.397</v>
      </c>
      <c r="S39">
        <v>71.62</v>
      </c>
    </row>
    <row r="40" spans="2:19">
      <c r="B40" s="6">
        <v>32</v>
      </c>
      <c r="C40">
        <v>3</v>
      </c>
      <c r="D40" t="s">
        <v>2</v>
      </c>
      <c r="E40">
        <v>-3</v>
      </c>
      <c r="F40">
        <v>-3</v>
      </c>
      <c r="G40">
        <v>-3</v>
      </c>
      <c r="H40">
        <v>2.9</v>
      </c>
      <c r="I40">
        <v>10</v>
      </c>
      <c r="J40">
        <v>128</v>
      </c>
      <c r="K40">
        <v>160</v>
      </c>
      <c r="L40">
        <v>90</v>
      </c>
      <c r="M40" t="s">
        <v>15</v>
      </c>
      <c r="O40">
        <v>1.2</v>
      </c>
      <c r="P40">
        <v>1.5</v>
      </c>
      <c r="Q40">
        <v>18.66</v>
      </c>
      <c r="R40">
        <v>2.003</v>
      </c>
      <c r="S40">
        <v>72.2</v>
      </c>
    </row>
    <row r="41" spans="2:19">
      <c r="B41" s="6">
        <v>33</v>
      </c>
      <c r="C41">
        <v>3</v>
      </c>
      <c r="D41" t="s">
        <v>3</v>
      </c>
      <c r="E41">
        <v>0</v>
      </c>
      <c r="F41">
        <v>0</v>
      </c>
      <c r="G41">
        <v>0</v>
      </c>
      <c r="H41">
        <v>2.9</v>
      </c>
      <c r="I41">
        <v>10</v>
      </c>
      <c r="J41">
        <v>128</v>
      </c>
      <c r="K41">
        <v>160</v>
      </c>
      <c r="L41">
        <v>-35</v>
      </c>
      <c r="M41" t="s">
        <v>16</v>
      </c>
      <c r="O41">
        <v>0</v>
      </c>
      <c r="P41">
        <v>0</v>
      </c>
      <c r="Q41">
        <v>97860000</v>
      </c>
      <c r="R41">
        <v>3.774</v>
      </c>
    </row>
    <row r="42" spans="2:19">
      <c r="B42" s="6">
        <v>34</v>
      </c>
      <c r="C42">
        <v>3</v>
      </c>
      <c r="D42" t="s">
        <v>4</v>
      </c>
      <c r="E42">
        <v>0</v>
      </c>
      <c r="F42">
        <v>0</v>
      </c>
      <c r="G42">
        <v>0</v>
      </c>
      <c r="H42">
        <v>2.9</v>
      </c>
      <c r="I42">
        <v>10</v>
      </c>
      <c r="J42">
        <v>128</v>
      </c>
      <c r="K42">
        <v>160</v>
      </c>
      <c r="L42">
        <v>27</v>
      </c>
      <c r="M42" t="s">
        <v>16</v>
      </c>
      <c r="O42">
        <v>1.001</v>
      </c>
      <c r="P42">
        <v>1.246</v>
      </c>
      <c r="Q42">
        <v>38.99</v>
      </c>
      <c r="R42">
        <v>2.628</v>
      </c>
      <c r="S42">
        <v>207.2</v>
      </c>
    </row>
    <row r="43" spans="2:19">
      <c r="B43" s="6">
        <v>35</v>
      </c>
      <c r="C43">
        <v>3</v>
      </c>
      <c r="D43" t="s">
        <v>5</v>
      </c>
      <c r="E43">
        <v>0</v>
      </c>
      <c r="F43">
        <v>0</v>
      </c>
      <c r="G43">
        <v>0</v>
      </c>
      <c r="H43">
        <v>2.9</v>
      </c>
      <c r="I43">
        <v>10</v>
      </c>
      <c r="J43">
        <v>128</v>
      </c>
      <c r="K43">
        <v>160</v>
      </c>
      <c r="L43">
        <v>90</v>
      </c>
      <c r="M43" t="s">
        <v>16</v>
      </c>
      <c r="O43">
        <v>1.238</v>
      </c>
      <c r="P43">
        <v>1.548</v>
      </c>
      <c r="Q43">
        <v>16.63</v>
      </c>
      <c r="R43">
        <v>1.945</v>
      </c>
      <c r="S43">
        <v>125.4</v>
      </c>
    </row>
    <row r="44" spans="2:19">
      <c r="B44" s="6">
        <v>36</v>
      </c>
      <c r="C44">
        <v>3</v>
      </c>
      <c r="D44" t="s">
        <v>6</v>
      </c>
      <c r="E44">
        <v>0</v>
      </c>
      <c r="F44">
        <v>0</v>
      </c>
      <c r="G44">
        <v>0</v>
      </c>
      <c r="H44">
        <v>2.9</v>
      </c>
      <c r="I44">
        <v>10</v>
      </c>
      <c r="J44">
        <v>128</v>
      </c>
      <c r="K44">
        <v>160</v>
      </c>
      <c r="L44">
        <v>-35</v>
      </c>
      <c r="M44" t="s">
        <v>17</v>
      </c>
      <c r="O44">
        <v>0</v>
      </c>
      <c r="P44">
        <v>0</v>
      </c>
      <c r="Q44">
        <v>95290000</v>
      </c>
      <c r="R44">
        <v>4.143</v>
      </c>
    </row>
    <row r="45" spans="2:19">
      <c r="B45" s="6">
        <v>37</v>
      </c>
      <c r="C45">
        <v>3</v>
      </c>
      <c r="D45" t="s">
        <v>7</v>
      </c>
      <c r="E45">
        <v>0</v>
      </c>
      <c r="F45">
        <v>0</v>
      </c>
      <c r="G45">
        <v>0</v>
      </c>
      <c r="H45">
        <v>2.9</v>
      </c>
      <c r="I45">
        <v>10</v>
      </c>
      <c r="J45">
        <v>128</v>
      </c>
      <c r="K45">
        <v>160</v>
      </c>
      <c r="L45">
        <v>27</v>
      </c>
      <c r="M45" t="s">
        <v>17</v>
      </c>
      <c r="O45">
        <v>1.003</v>
      </c>
      <c r="P45">
        <v>1.251</v>
      </c>
      <c r="Q45">
        <v>38.61</v>
      </c>
      <c r="R45">
        <v>2.826</v>
      </c>
      <c r="S45">
        <v>56.87</v>
      </c>
    </row>
    <row r="46" spans="2:19">
      <c r="B46" s="6">
        <v>38</v>
      </c>
      <c r="C46">
        <v>3</v>
      </c>
      <c r="D46" t="s">
        <v>8</v>
      </c>
      <c r="E46">
        <v>0</v>
      </c>
      <c r="F46">
        <v>0</v>
      </c>
      <c r="G46">
        <v>0</v>
      </c>
      <c r="H46">
        <v>2.9</v>
      </c>
      <c r="I46">
        <v>10</v>
      </c>
      <c r="J46">
        <v>128</v>
      </c>
      <c r="K46">
        <v>160</v>
      </c>
      <c r="L46">
        <v>90</v>
      </c>
      <c r="M46" t="s">
        <v>17</v>
      </c>
      <c r="O46">
        <v>1.237</v>
      </c>
      <c r="P46">
        <v>1.546</v>
      </c>
      <c r="Q46">
        <v>14.56</v>
      </c>
      <c r="R46">
        <v>2.392</v>
      </c>
      <c r="S46">
        <v>57.23</v>
      </c>
    </row>
    <row r="47" spans="2:19">
      <c r="B47" s="6">
        <v>39</v>
      </c>
      <c r="C47">
        <v>3</v>
      </c>
      <c r="D47" t="s">
        <v>9</v>
      </c>
      <c r="E47">
        <v>3</v>
      </c>
      <c r="F47">
        <v>3</v>
      </c>
      <c r="G47">
        <v>3</v>
      </c>
      <c r="H47">
        <v>2.9</v>
      </c>
      <c r="I47">
        <v>10</v>
      </c>
      <c r="J47">
        <v>128</v>
      </c>
      <c r="K47">
        <v>160</v>
      </c>
      <c r="L47">
        <v>-35</v>
      </c>
      <c r="M47" t="s">
        <v>18</v>
      </c>
      <c r="O47">
        <v>0</v>
      </c>
      <c r="P47">
        <v>0</v>
      </c>
      <c r="Q47">
        <v>44310000</v>
      </c>
      <c r="R47">
        <v>4.512</v>
      </c>
    </row>
    <row r="48" spans="2:19">
      <c r="B48" s="6">
        <v>40</v>
      </c>
      <c r="C48">
        <v>3</v>
      </c>
      <c r="D48" t="s">
        <v>10</v>
      </c>
      <c r="E48">
        <v>3</v>
      </c>
      <c r="F48">
        <v>3</v>
      </c>
      <c r="G48">
        <v>3</v>
      </c>
      <c r="H48">
        <v>2.9</v>
      </c>
      <c r="I48">
        <v>10</v>
      </c>
      <c r="J48">
        <v>128</v>
      </c>
      <c r="K48">
        <v>160</v>
      </c>
      <c r="L48">
        <v>27</v>
      </c>
      <c r="M48" t="s">
        <v>18</v>
      </c>
      <c r="O48">
        <v>1.038</v>
      </c>
      <c r="P48">
        <v>1.292</v>
      </c>
      <c r="Q48">
        <v>34.96</v>
      </c>
      <c r="R48">
        <v>3.093</v>
      </c>
      <c r="S48">
        <v>149.5</v>
      </c>
    </row>
    <row r="49" spans="2:19">
      <c r="B49" s="6">
        <v>41</v>
      </c>
      <c r="C49">
        <v>3</v>
      </c>
      <c r="D49" t="s">
        <v>11</v>
      </c>
      <c r="E49">
        <v>3</v>
      </c>
      <c r="F49">
        <v>3</v>
      </c>
      <c r="G49">
        <v>3</v>
      </c>
      <c r="H49">
        <v>2.9</v>
      </c>
      <c r="I49">
        <v>10</v>
      </c>
      <c r="J49">
        <v>128</v>
      </c>
      <c r="K49">
        <v>160</v>
      </c>
      <c r="L49">
        <v>90</v>
      </c>
      <c r="M49" t="s">
        <v>18</v>
      </c>
      <c r="O49">
        <v>1.26</v>
      </c>
      <c r="P49">
        <v>1.575</v>
      </c>
      <c r="Q49">
        <v>14.3</v>
      </c>
      <c r="R49">
        <v>2.342</v>
      </c>
      <c r="S49">
        <v>109.7</v>
      </c>
    </row>
    <row r="50" spans="2:19">
      <c r="B50" s="6">
        <v>42</v>
      </c>
      <c r="C50">
        <v>3</v>
      </c>
      <c r="D50" t="s">
        <v>12</v>
      </c>
      <c r="E50">
        <v>0</v>
      </c>
      <c r="F50">
        <v>0</v>
      </c>
      <c r="G50">
        <v>0</v>
      </c>
      <c r="H50">
        <v>2.9</v>
      </c>
      <c r="I50">
        <v>10</v>
      </c>
      <c r="J50">
        <v>128</v>
      </c>
      <c r="K50">
        <v>160</v>
      </c>
      <c r="L50">
        <v>-35</v>
      </c>
      <c r="M50" t="s">
        <v>19</v>
      </c>
      <c r="O50">
        <v>0</v>
      </c>
      <c r="P50">
        <v>0</v>
      </c>
      <c r="Q50">
        <v>129500000</v>
      </c>
      <c r="R50">
        <v>3.838</v>
      </c>
    </row>
    <row r="51" spans="2:19">
      <c r="B51" s="6">
        <v>43</v>
      </c>
      <c r="C51">
        <v>3</v>
      </c>
      <c r="D51" t="s">
        <v>13</v>
      </c>
      <c r="E51">
        <v>0</v>
      </c>
      <c r="F51">
        <v>0</v>
      </c>
      <c r="G51">
        <v>0</v>
      </c>
      <c r="H51">
        <v>2.9</v>
      </c>
      <c r="I51">
        <v>10</v>
      </c>
      <c r="J51">
        <v>128</v>
      </c>
      <c r="K51">
        <v>160</v>
      </c>
      <c r="L51">
        <v>27</v>
      </c>
      <c r="M51" t="s">
        <v>19</v>
      </c>
      <c r="O51">
        <v>1.002</v>
      </c>
      <c r="P51">
        <v>1.249</v>
      </c>
      <c r="Q51">
        <v>38.9</v>
      </c>
      <c r="R51">
        <v>2.681</v>
      </c>
      <c r="S51">
        <v>94.59999999999999</v>
      </c>
    </row>
    <row r="52" spans="2:19">
      <c r="B52" s="6">
        <v>44</v>
      </c>
      <c r="C52">
        <v>3</v>
      </c>
      <c r="D52" t="s">
        <v>14</v>
      </c>
      <c r="E52">
        <v>0</v>
      </c>
      <c r="F52">
        <v>0</v>
      </c>
      <c r="G52">
        <v>0</v>
      </c>
      <c r="H52">
        <v>2.9</v>
      </c>
      <c r="I52">
        <v>10</v>
      </c>
      <c r="J52">
        <v>128</v>
      </c>
      <c r="K52">
        <v>160</v>
      </c>
      <c r="L52">
        <v>90</v>
      </c>
      <c r="M52" t="s">
        <v>19</v>
      </c>
      <c r="O52">
        <v>1.237</v>
      </c>
      <c r="P52">
        <v>1.546</v>
      </c>
      <c r="Q52">
        <v>14.23</v>
      </c>
      <c r="R52">
        <v>2.141</v>
      </c>
      <c r="S52">
        <v>88.15000000000001</v>
      </c>
    </row>
    <row r="53" spans="2:19">
      <c r="B53" s="6">
        <v>45</v>
      </c>
      <c r="C53">
        <v>4</v>
      </c>
      <c r="D53" t="s">
        <v>0</v>
      </c>
      <c r="E53">
        <v>-3</v>
      </c>
      <c r="F53">
        <v>-3</v>
      </c>
      <c r="G53">
        <v>-3</v>
      </c>
      <c r="H53">
        <v>2.9</v>
      </c>
      <c r="I53">
        <v>90</v>
      </c>
      <c r="J53">
        <v>255</v>
      </c>
      <c r="K53">
        <v>128</v>
      </c>
      <c r="L53">
        <v>-35</v>
      </c>
      <c r="M53" t="s">
        <v>15</v>
      </c>
      <c r="O53">
        <v>0</v>
      </c>
      <c r="P53">
        <v>0</v>
      </c>
      <c r="Q53">
        <v>188400000</v>
      </c>
      <c r="R53">
        <v>3.906</v>
      </c>
      <c r="S53">
        <v>1429</v>
      </c>
    </row>
    <row r="54" spans="2:19">
      <c r="B54" s="6">
        <v>46</v>
      </c>
      <c r="C54">
        <v>4</v>
      </c>
      <c r="D54" t="s">
        <v>1</v>
      </c>
      <c r="E54">
        <v>-3</v>
      </c>
      <c r="F54">
        <v>-3</v>
      </c>
      <c r="G54">
        <v>-3</v>
      </c>
      <c r="H54">
        <v>2.9</v>
      </c>
      <c r="I54">
        <v>90</v>
      </c>
      <c r="J54">
        <v>255</v>
      </c>
      <c r="K54">
        <v>128</v>
      </c>
      <c r="L54">
        <v>27</v>
      </c>
      <c r="M54" t="s">
        <v>15</v>
      </c>
      <c r="O54">
        <v>1.501</v>
      </c>
      <c r="P54">
        <v>0.924</v>
      </c>
      <c r="Q54">
        <v>14.37</v>
      </c>
      <c r="R54">
        <v>2.325</v>
      </c>
      <c r="S54">
        <v>33.3</v>
      </c>
    </row>
    <row r="55" spans="2:19">
      <c r="B55" s="6">
        <v>47</v>
      </c>
      <c r="C55">
        <v>4</v>
      </c>
      <c r="D55" t="s">
        <v>2</v>
      </c>
      <c r="E55">
        <v>-3</v>
      </c>
      <c r="F55">
        <v>-3</v>
      </c>
      <c r="G55">
        <v>-3</v>
      </c>
      <c r="H55">
        <v>2.9</v>
      </c>
      <c r="I55">
        <v>90</v>
      </c>
      <c r="J55">
        <v>255</v>
      </c>
      <c r="K55">
        <v>128</v>
      </c>
      <c r="L55">
        <v>90</v>
      </c>
      <c r="M55" t="s">
        <v>15</v>
      </c>
      <c r="O55">
        <v>2.352</v>
      </c>
      <c r="P55">
        <v>1.199</v>
      </c>
      <c r="Q55">
        <v>16.24</v>
      </c>
      <c r="R55">
        <v>2.007</v>
      </c>
      <c r="S55">
        <v>15.17</v>
      </c>
    </row>
    <row r="56" spans="2:19">
      <c r="B56" s="6">
        <v>48</v>
      </c>
      <c r="C56">
        <v>4</v>
      </c>
      <c r="D56" t="s">
        <v>3</v>
      </c>
      <c r="E56">
        <v>0</v>
      </c>
      <c r="F56">
        <v>0</v>
      </c>
      <c r="G56">
        <v>0</v>
      </c>
      <c r="H56">
        <v>2.9</v>
      </c>
      <c r="I56">
        <v>90</v>
      </c>
      <c r="J56">
        <v>255</v>
      </c>
      <c r="K56">
        <v>128</v>
      </c>
      <c r="L56">
        <v>-35</v>
      </c>
      <c r="M56" t="s">
        <v>16</v>
      </c>
      <c r="O56">
        <v>0</v>
      </c>
      <c r="P56">
        <v>0</v>
      </c>
      <c r="Q56">
        <v>107800000</v>
      </c>
      <c r="R56">
        <v>3.811</v>
      </c>
      <c r="S56">
        <v>2270</v>
      </c>
    </row>
    <row r="57" spans="2:19">
      <c r="B57" s="6">
        <v>49</v>
      </c>
      <c r="C57">
        <v>4</v>
      </c>
      <c r="D57" t="s">
        <v>4</v>
      </c>
      <c r="E57">
        <v>0</v>
      </c>
      <c r="F57">
        <v>0</v>
      </c>
      <c r="G57">
        <v>0</v>
      </c>
      <c r="H57">
        <v>2.9</v>
      </c>
      <c r="I57">
        <v>90</v>
      </c>
      <c r="J57">
        <v>255</v>
      </c>
      <c r="K57">
        <v>128</v>
      </c>
      <c r="L57">
        <v>27</v>
      </c>
      <c r="M57" t="s">
        <v>16</v>
      </c>
      <c r="O57">
        <v>1.475</v>
      </c>
      <c r="P57">
        <v>0.948</v>
      </c>
      <c r="Q57">
        <v>10.37</v>
      </c>
      <c r="R57">
        <v>2.204</v>
      </c>
      <c r="S57">
        <v>59.44</v>
      </c>
    </row>
    <row r="58" spans="2:19">
      <c r="B58" s="6">
        <v>50</v>
      </c>
      <c r="C58">
        <v>4</v>
      </c>
      <c r="D58" t="s">
        <v>5</v>
      </c>
      <c r="E58">
        <v>0</v>
      </c>
      <c r="F58">
        <v>0</v>
      </c>
      <c r="G58">
        <v>0</v>
      </c>
      <c r="H58">
        <v>2.9</v>
      </c>
      <c r="I58">
        <v>90</v>
      </c>
      <c r="J58">
        <v>255</v>
      </c>
      <c r="K58">
        <v>128</v>
      </c>
      <c r="L58">
        <v>90</v>
      </c>
      <c r="M58" t="s">
        <v>16</v>
      </c>
      <c r="O58">
        <v>2.395</v>
      </c>
      <c r="P58">
        <v>1.236</v>
      </c>
      <c r="Q58">
        <v>12.24</v>
      </c>
      <c r="R58">
        <v>1.956</v>
      </c>
      <c r="S58">
        <v>31.75</v>
      </c>
    </row>
    <row r="59" spans="2:19">
      <c r="B59" s="6">
        <v>51</v>
      </c>
      <c r="C59">
        <v>4</v>
      </c>
      <c r="D59" t="s">
        <v>6</v>
      </c>
      <c r="E59">
        <v>0</v>
      </c>
      <c r="F59">
        <v>0</v>
      </c>
      <c r="G59">
        <v>0</v>
      </c>
      <c r="H59">
        <v>2.9</v>
      </c>
      <c r="I59">
        <v>90</v>
      </c>
      <c r="J59">
        <v>255</v>
      </c>
      <c r="K59">
        <v>128</v>
      </c>
      <c r="L59">
        <v>-35</v>
      </c>
      <c r="M59" t="s">
        <v>17</v>
      </c>
      <c r="O59">
        <v>0</v>
      </c>
      <c r="P59">
        <v>0</v>
      </c>
      <c r="Q59">
        <v>73210000</v>
      </c>
      <c r="R59">
        <v>4.191</v>
      </c>
      <c r="S59">
        <v>1304</v>
      </c>
    </row>
    <row r="60" spans="2:19">
      <c r="B60" s="6">
        <v>52</v>
      </c>
      <c r="C60">
        <v>4</v>
      </c>
      <c r="D60" t="s">
        <v>7</v>
      </c>
      <c r="E60">
        <v>0</v>
      </c>
      <c r="F60">
        <v>0</v>
      </c>
      <c r="G60">
        <v>0</v>
      </c>
      <c r="H60">
        <v>2.9</v>
      </c>
      <c r="I60">
        <v>90</v>
      </c>
      <c r="J60">
        <v>255</v>
      </c>
      <c r="K60">
        <v>128</v>
      </c>
      <c r="L60">
        <v>27</v>
      </c>
      <c r="M60" t="s">
        <v>17</v>
      </c>
      <c r="O60">
        <v>1.546</v>
      </c>
      <c r="P60">
        <v>0.957</v>
      </c>
      <c r="Q60">
        <v>12.95</v>
      </c>
      <c r="R60">
        <v>2.703</v>
      </c>
      <c r="S60">
        <v>51.63</v>
      </c>
    </row>
    <row r="61" spans="2:19">
      <c r="B61" s="6">
        <v>53</v>
      </c>
      <c r="C61">
        <v>4</v>
      </c>
      <c r="D61" t="s">
        <v>8</v>
      </c>
      <c r="E61">
        <v>0</v>
      </c>
      <c r="F61">
        <v>0</v>
      </c>
      <c r="G61">
        <v>0</v>
      </c>
      <c r="H61">
        <v>2.9</v>
      </c>
      <c r="I61">
        <v>90</v>
      </c>
      <c r="J61">
        <v>255</v>
      </c>
      <c r="K61">
        <v>128</v>
      </c>
      <c r="L61">
        <v>90</v>
      </c>
      <c r="M61" t="s">
        <v>17</v>
      </c>
      <c r="O61">
        <v>2.423</v>
      </c>
      <c r="P61">
        <v>1.235</v>
      </c>
      <c r="Q61">
        <v>12.61</v>
      </c>
      <c r="R61">
        <v>2.399</v>
      </c>
      <c r="S61">
        <v>19.97</v>
      </c>
    </row>
    <row r="62" spans="2:19">
      <c r="B62" s="6">
        <v>54</v>
      </c>
      <c r="C62">
        <v>4</v>
      </c>
      <c r="D62" t="s">
        <v>9</v>
      </c>
      <c r="E62">
        <v>3</v>
      </c>
      <c r="F62">
        <v>3</v>
      </c>
      <c r="G62">
        <v>3</v>
      </c>
      <c r="H62">
        <v>2.9</v>
      </c>
      <c r="I62">
        <v>90</v>
      </c>
      <c r="J62">
        <v>255</v>
      </c>
      <c r="K62">
        <v>128</v>
      </c>
      <c r="L62">
        <v>-35</v>
      </c>
      <c r="M62" t="s">
        <v>18</v>
      </c>
      <c r="O62">
        <v>0</v>
      </c>
      <c r="P62">
        <v>0</v>
      </c>
      <c r="Q62">
        <v>10780000</v>
      </c>
      <c r="R62">
        <v>4.561</v>
      </c>
      <c r="S62">
        <v>2455</v>
      </c>
    </row>
    <row r="63" spans="2:19">
      <c r="B63" s="6">
        <v>55</v>
      </c>
      <c r="C63">
        <v>4</v>
      </c>
      <c r="D63" t="s">
        <v>10</v>
      </c>
      <c r="E63">
        <v>3</v>
      </c>
      <c r="F63">
        <v>3</v>
      </c>
      <c r="G63">
        <v>3</v>
      </c>
      <c r="H63">
        <v>2.9</v>
      </c>
      <c r="I63">
        <v>90</v>
      </c>
      <c r="J63">
        <v>255</v>
      </c>
      <c r="K63">
        <v>128</v>
      </c>
      <c r="L63">
        <v>27</v>
      </c>
      <c r="M63" t="s">
        <v>18</v>
      </c>
      <c r="O63">
        <v>1.527</v>
      </c>
      <c r="P63">
        <v>0.983</v>
      </c>
      <c r="Q63">
        <v>9.206</v>
      </c>
      <c r="R63">
        <v>2.133</v>
      </c>
      <c r="S63">
        <v>73.45</v>
      </c>
    </row>
    <row r="64" spans="2:19">
      <c r="B64" s="6">
        <v>56</v>
      </c>
      <c r="C64">
        <v>4</v>
      </c>
      <c r="D64" t="s">
        <v>11</v>
      </c>
      <c r="E64">
        <v>3</v>
      </c>
      <c r="F64">
        <v>3</v>
      </c>
      <c r="G64">
        <v>3</v>
      </c>
      <c r="H64">
        <v>2.9</v>
      </c>
      <c r="I64">
        <v>90</v>
      </c>
      <c r="J64">
        <v>255</v>
      </c>
      <c r="K64">
        <v>128</v>
      </c>
      <c r="L64">
        <v>90</v>
      </c>
      <c r="M64" t="s">
        <v>18</v>
      </c>
      <c r="O64">
        <v>2.445</v>
      </c>
      <c r="P64">
        <v>1.258</v>
      </c>
      <c r="Q64">
        <v>10.63</v>
      </c>
      <c r="R64">
        <v>2.342</v>
      </c>
      <c r="S64">
        <v>35.89</v>
      </c>
    </row>
    <row r="65" spans="2:19">
      <c r="B65" s="6">
        <v>57</v>
      </c>
      <c r="C65">
        <v>4</v>
      </c>
      <c r="D65" t="s">
        <v>12</v>
      </c>
      <c r="E65">
        <v>0</v>
      </c>
      <c r="F65">
        <v>0</v>
      </c>
      <c r="G65">
        <v>0</v>
      </c>
      <c r="H65">
        <v>2.9</v>
      </c>
      <c r="I65">
        <v>90</v>
      </c>
      <c r="J65">
        <v>255</v>
      </c>
      <c r="K65">
        <v>128</v>
      </c>
      <c r="L65">
        <v>-35</v>
      </c>
      <c r="M65" t="s">
        <v>19</v>
      </c>
      <c r="O65">
        <v>0</v>
      </c>
      <c r="P65">
        <v>0</v>
      </c>
      <c r="Q65">
        <v>62970000</v>
      </c>
      <c r="R65">
        <v>3.625</v>
      </c>
      <c r="S65">
        <v>1730</v>
      </c>
    </row>
    <row r="66" spans="2:19">
      <c r="B66" s="6">
        <v>58</v>
      </c>
      <c r="C66">
        <v>4</v>
      </c>
      <c r="D66" t="s">
        <v>13</v>
      </c>
      <c r="E66">
        <v>0</v>
      </c>
      <c r="F66">
        <v>0</v>
      </c>
      <c r="G66">
        <v>0</v>
      </c>
      <c r="H66">
        <v>2.9</v>
      </c>
      <c r="I66">
        <v>90</v>
      </c>
      <c r="J66">
        <v>255</v>
      </c>
      <c r="K66">
        <v>128</v>
      </c>
      <c r="L66">
        <v>27</v>
      </c>
      <c r="M66" t="s">
        <v>19</v>
      </c>
      <c r="O66">
        <v>1.519</v>
      </c>
      <c r="P66">
        <v>0.953</v>
      </c>
      <c r="Q66">
        <v>12.22</v>
      </c>
      <c r="R66">
        <v>2.463</v>
      </c>
      <c r="S66">
        <v>46.6</v>
      </c>
    </row>
    <row r="67" spans="2:19">
      <c r="B67" s="6">
        <v>59</v>
      </c>
      <c r="C67">
        <v>4</v>
      </c>
      <c r="D67" t="s">
        <v>14</v>
      </c>
      <c r="E67">
        <v>0</v>
      </c>
      <c r="F67">
        <v>0</v>
      </c>
      <c r="G67">
        <v>0</v>
      </c>
      <c r="H67">
        <v>2.9</v>
      </c>
      <c r="I67">
        <v>90</v>
      </c>
      <c r="J67">
        <v>255</v>
      </c>
      <c r="K67">
        <v>128</v>
      </c>
      <c r="L67">
        <v>90</v>
      </c>
      <c r="M67" t="s">
        <v>19</v>
      </c>
      <c r="O67">
        <v>2.415</v>
      </c>
      <c r="P67">
        <v>1.236</v>
      </c>
      <c r="Q67">
        <v>11.92</v>
      </c>
      <c r="R67">
        <v>2.144</v>
      </c>
      <c r="S67">
        <v>22.03</v>
      </c>
    </row>
    <row r="68" spans="2:19">
      <c r="B68" s="6">
        <v>60</v>
      </c>
      <c r="C68">
        <v>5</v>
      </c>
      <c r="D68" t="s">
        <v>0</v>
      </c>
      <c r="E68">
        <v>-3</v>
      </c>
      <c r="F68">
        <v>-3</v>
      </c>
      <c r="G68">
        <v>-3</v>
      </c>
      <c r="H68">
        <v>2.9</v>
      </c>
      <c r="I68">
        <v>90</v>
      </c>
      <c r="J68">
        <v>128</v>
      </c>
      <c r="K68">
        <v>255</v>
      </c>
      <c r="L68">
        <v>-35</v>
      </c>
      <c r="M68" t="s">
        <v>15</v>
      </c>
      <c r="O68">
        <v>0</v>
      </c>
      <c r="P68">
        <v>0</v>
      </c>
      <c r="Q68">
        <v>193400000</v>
      </c>
      <c r="R68">
        <v>3.613</v>
      </c>
      <c r="S68">
        <v>2262</v>
      </c>
    </row>
    <row r="69" spans="2:19">
      <c r="B69" s="6">
        <v>61</v>
      </c>
      <c r="C69">
        <v>5</v>
      </c>
      <c r="D69" t="s">
        <v>1</v>
      </c>
      <c r="E69">
        <v>-3</v>
      </c>
      <c r="F69">
        <v>-3</v>
      </c>
      <c r="G69">
        <v>-3</v>
      </c>
      <c r="H69">
        <v>2.9</v>
      </c>
      <c r="I69">
        <v>90</v>
      </c>
      <c r="J69">
        <v>128</v>
      </c>
      <c r="K69">
        <v>255</v>
      </c>
      <c r="L69">
        <v>27</v>
      </c>
      <c r="M69" t="s">
        <v>15</v>
      </c>
      <c r="O69">
        <v>0.924</v>
      </c>
      <c r="P69">
        <v>1.501</v>
      </c>
      <c r="Q69">
        <v>34.24</v>
      </c>
      <c r="R69">
        <v>2.394</v>
      </c>
      <c r="S69">
        <v>106.9</v>
      </c>
    </row>
    <row r="70" spans="2:19">
      <c r="B70" s="6">
        <v>62</v>
      </c>
      <c r="C70">
        <v>5</v>
      </c>
      <c r="D70" t="s">
        <v>2</v>
      </c>
      <c r="E70">
        <v>-3</v>
      </c>
      <c r="F70">
        <v>-3</v>
      </c>
      <c r="G70">
        <v>-3</v>
      </c>
      <c r="H70">
        <v>2.9</v>
      </c>
      <c r="I70">
        <v>90</v>
      </c>
      <c r="J70">
        <v>128</v>
      </c>
      <c r="K70">
        <v>255</v>
      </c>
      <c r="L70">
        <v>90</v>
      </c>
      <c r="M70" t="s">
        <v>15</v>
      </c>
      <c r="O70">
        <v>1.199</v>
      </c>
      <c r="P70">
        <v>2.352</v>
      </c>
      <c r="Q70">
        <v>18.64</v>
      </c>
      <c r="R70">
        <v>2.004</v>
      </c>
      <c r="S70">
        <v>87.92</v>
      </c>
    </row>
    <row r="71" spans="2:19">
      <c r="B71" s="6">
        <v>63</v>
      </c>
      <c r="C71">
        <v>5</v>
      </c>
      <c r="D71" t="s">
        <v>3</v>
      </c>
      <c r="E71">
        <v>0</v>
      </c>
      <c r="F71">
        <v>0</v>
      </c>
      <c r="G71">
        <v>0</v>
      </c>
      <c r="H71">
        <v>2.9</v>
      </c>
      <c r="I71">
        <v>90</v>
      </c>
      <c r="J71">
        <v>128</v>
      </c>
      <c r="K71">
        <v>255</v>
      </c>
      <c r="L71">
        <v>-35</v>
      </c>
      <c r="M71" t="s">
        <v>16</v>
      </c>
      <c r="O71">
        <v>0</v>
      </c>
      <c r="P71">
        <v>0</v>
      </c>
      <c r="Q71">
        <v>96110000</v>
      </c>
      <c r="R71">
        <v>3.771</v>
      </c>
    </row>
    <row r="72" spans="2:19">
      <c r="B72" s="6">
        <v>64</v>
      </c>
      <c r="C72">
        <v>5</v>
      </c>
      <c r="D72" t="s">
        <v>4</v>
      </c>
      <c r="E72">
        <v>0</v>
      </c>
      <c r="F72">
        <v>0</v>
      </c>
      <c r="G72">
        <v>0</v>
      </c>
      <c r="H72">
        <v>2.9</v>
      </c>
      <c r="I72">
        <v>90</v>
      </c>
      <c r="J72">
        <v>128</v>
      </c>
      <c r="K72">
        <v>255</v>
      </c>
      <c r="L72">
        <v>27</v>
      </c>
      <c r="M72" t="s">
        <v>16</v>
      </c>
      <c r="O72">
        <v>0.947</v>
      </c>
      <c r="P72">
        <v>1.475</v>
      </c>
      <c r="Q72">
        <v>29.89</v>
      </c>
      <c r="R72">
        <v>2.605</v>
      </c>
      <c r="S72">
        <v>213.4</v>
      </c>
    </row>
    <row r="73" spans="2:19">
      <c r="B73" s="6">
        <v>65</v>
      </c>
      <c r="C73">
        <v>5</v>
      </c>
      <c r="D73" t="s">
        <v>5</v>
      </c>
      <c r="E73">
        <v>0</v>
      </c>
      <c r="F73">
        <v>0</v>
      </c>
      <c r="G73">
        <v>0</v>
      </c>
      <c r="H73">
        <v>2.9</v>
      </c>
      <c r="I73">
        <v>90</v>
      </c>
      <c r="J73">
        <v>128</v>
      </c>
      <c r="K73">
        <v>255</v>
      </c>
      <c r="L73">
        <v>90</v>
      </c>
      <c r="M73" t="s">
        <v>16</v>
      </c>
      <c r="O73">
        <v>1.236</v>
      </c>
      <c r="P73">
        <v>2.395</v>
      </c>
      <c r="Q73">
        <v>16.64</v>
      </c>
      <c r="R73">
        <v>1.946</v>
      </c>
      <c r="S73">
        <v>152.8</v>
      </c>
    </row>
    <row r="74" spans="2:19">
      <c r="B74" s="6">
        <v>66</v>
      </c>
      <c r="C74">
        <v>5</v>
      </c>
      <c r="D74" t="s">
        <v>6</v>
      </c>
      <c r="E74">
        <v>0</v>
      </c>
      <c r="F74">
        <v>0</v>
      </c>
      <c r="G74">
        <v>0</v>
      </c>
      <c r="H74">
        <v>2.9</v>
      </c>
      <c r="I74">
        <v>90</v>
      </c>
      <c r="J74">
        <v>128</v>
      </c>
      <c r="K74">
        <v>255</v>
      </c>
      <c r="L74">
        <v>-35</v>
      </c>
      <c r="M74" t="s">
        <v>17</v>
      </c>
      <c r="O74">
        <v>0</v>
      </c>
      <c r="P74">
        <v>0</v>
      </c>
      <c r="Q74">
        <v>125300000</v>
      </c>
      <c r="R74">
        <v>4.132</v>
      </c>
      <c r="S74">
        <v>8728</v>
      </c>
    </row>
    <row r="75" spans="2:19">
      <c r="B75" s="6">
        <v>67</v>
      </c>
      <c r="C75">
        <v>5</v>
      </c>
      <c r="D75" t="s">
        <v>7</v>
      </c>
      <c r="E75">
        <v>0</v>
      </c>
      <c r="F75">
        <v>0</v>
      </c>
      <c r="G75">
        <v>0</v>
      </c>
      <c r="H75">
        <v>2.9</v>
      </c>
      <c r="I75">
        <v>90</v>
      </c>
      <c r="J75">
        <v>128</v>
      </c>
      <c r="K75">
        <v>255</v>
      </c>
      <c r="L75">
        <v>27</v>
      </c>
      <c r="M75" t="s">
        <v>17</v>
      </c>
      <c r="O75">
        <v>0.957</v>
      </c>
      <c r="P75">
        <v>1.546</v>
      </c>
      <c r="Q75">
        <v>31.21</v>
      </c>
      <c r="R75">
        <v>2.823</v>
      </c>
      <c r="S75">
        <v>139.6</v>
      </c>
    </row>
    <row r="76" spans="2:19">
      <c r="B76" s="6">
        <v>68</v>
      </c>
      <c r="C76">
        <v>5</v>
      </c>
      <c r="D76" t="s">
        <v>8</v>
      </c>
      <c r="E76">
        <v>0</v>
      </c>
      <c r="F76">
        <v>0</v>
      </c>
      <c r="G76">
        <v>0</v>
      </c>
      <c r="H76">
        <v>2.9</v>
      </c>
      <c r="I76">
        <v>90</v>
      </c>
      <c r="J76">
        <v>128</v>
      </c>
      <c r="K76">
        <v>255</v>
      </c>
      <c r="L76">
        <v>90</v>
      </c>
      <c r="M76" t="s">
        <v>17</v>
      </c>
      <c r="O76">
        <v>1.235</v>
      </c>
      <c r="P76">
        <v>2.423</v>
      </c>
      <c r="Q76">
        <v>14.5</v>
      </c>
      <c r="R76">
        <v>2.394</v>
      </c>
      <c r="S76">
        <v>110.1</v>
      </c>
    </row>
    <row r="77" spans="2:19">
      <c r="B77" s="6">
        <v>69</v>
      </c>
      <c r="C77">
        <v>5</v>
      </c>
      <c r="D77" t="s">
        <v>9</v>
      </c>
      <c r="E77">
        <v>3</v>
      </c>
      <c r="F77">
        <v>3</v>
      </c>
      <c r="G77">
        <v>3</v>
      </c>
      <c r="H77">
        <v>2.9</v>
      </c>
      <c r="I77">
        <v>90</v>
      </c>
      <c r="J77">
        <v>128</v>
      </c>
      <c r="K77">
        <v>255</v>
      </c>
      <c r="L77">
        <v>-35</v>
      </c>
      <c r="M77" t="s">
        <v>18</v>
      </c>
      <c r="O77">
        <v>0</v>
      </c>
      <c r="P77">
        <v>0</v>
      </c>
      <c r="Q77">
        <v>50950000</v>
      </c>
      <c r="R77">
        <v>4.512</v>
      </c>
    </row>
    <row r="78" spans="2:19">
      <c r="B78" s="6">
        <v>70</v>
      </c>
      <c r="C78">
        <v>5</v>
      </c>
      <c r="D78" t="s">
        <v>10</v>
      </c>
      <c r="E78">
        <v>3</v>
      </c>
      <c r="F78">
        <v>3</v>
      </c>
      <c r="G78">
        <v>3</v>
      </c>
      <c r="H78">
        <v>2.9</v>
      </c>
      <c r="I78">
        <v>90</v>
      </c>
      <c r="J78">
        <v>128</v>
      </c>
      <c r="K78">
        <v>255</v>
      </c>
      <c r="L78">
        <v>27</v>
      </c>
      <c r="M78" t="s">
        <v>18</v>
      </c>
      <c r="O78">
        <v>0.983</v>
      </c>
      <c r="P78">
        <v>1.527</v>
      </c>
      <c r="Q78">
        <v>27.64</v>
      </c>
      <c r="R78">
        <v>3.057</v>
      </c>
      <c r="S78">
        <v>245.6</v>
      </c>
    </row>
    <row r="79" spans="2:19">
      <c r="B79" s="6">
        <v>71</v>
      </c>
      <c r="C79">
        <v>5</v>
      </c>
      <c r="D79" t="s">
        <v>11</v>
      </c>
      <c r="E79">
        <v>3</v>
      </c>
      <c r="F79">
        <v>3</v>
      </c>
      <c r="G79">
        <v>3</v>
      </c>
      <c r="H79">
        <v>2.9</v>
      </c>
      <c r="I79">
        <v>90</v>
      </c>
      <c r="J79">
        <v>128</v>
      </c>
      <c r="K79">
        <v>255</v>
      </c>
      <c r="L79">
        <v>90</v>
      </c>
      <c r="M79" t="s">
        <v>18</v>
      </c>
      <c r="O79">
        <v>1.258</v>
      </c>
      <c r="P79">
        <v>2.445</v>
      </c>
      <c r="Q79">
        <v>14.28</v>
      </c>
      <c r="R79">
        <v>2.345</v>
      </c>
      <c r="S79">
        <v>177.6</v>
      </c>
    </row>
    <row r="80" spans="2:19">
      <c r="B80" s="6">
        <v>72</v>
      </c>
      <c r="C80">
        <v>5</v>
      </c>
      <c r="D80" t="s">
        <v>12</v>
      </c>
      <c r="E80">
        <v>0</v>
      </c>
      <c r="F80">
        <v>0</v>
      </c>
      <c r="G80">
        <v>0</v>
      </c>
      <c r="H80">
        <v>2.9</v>
      </c>
      <c r="I80">
        <v>90</v>
      </c>
      <c r="J80">
        <v>128</v>
      </c>
      <c r="K80">
        <v>255</v>
      </c>
      <c r="L80">
        <v>-35</v>
      </c>
      <c r="M80" t="s">
        <v>19</v>
      </c>
      <c r="O80">
        <v>0</v>
      </c>
      <c r="P80">
        <v>0</v>
      </c>
      <c r="Q80">
        <v>118500000</v>
      </c>
      <c r="R80">
        <v>3.839</v>
      </c>
    </row>
    <row r="81" spans="2:19">
      <c r="B81" s="6">
        <v>73</v>
      </c>
      <c r="C81">
        <v>5</v>
      </c>
      <c r="D81" t="s">
        <v>13</v>
      </c>
      <c r="E81">
        <v>0</v>
      </c>
      <c r="F81">
        <v>0</v>
      </c>
      <c r="G81">
        <v>0</v>
      </c>
      <c r="H81">
        <v>2.9</v>
      </c>
      <c r="I81">
        <v>90</v>
      </c>
      <c r="J81">
        <v>128</v>
      </c>
      <c r="K81">
        <v>255</v>
      </c>
      <c r="L81">
        <v>27</v>
      </c>
      <c r="M81" t="s">
        <v>19</v>
      </c>
      <c r="O81">
        <v>0.953</v>
      </c>
      <c r="P81">
        <v>1.519</v>
      </c>
      <c r="Q81">
        <v>31.14</v>
      </c>
      <c r="R81">
        <v>2.668</v>
      </c>
      <c r="S81">
        <v>152.9</v>
      </c>
    </row>
    <row r="82" spans="2:19">
      <c r="B82" s="6">
        <v>74</v>
      </c>
      <c r="C82">
        <v>5</v>
      </c>
      <c r="D82" t="s">
        <v>14</v>
      </c>
      <c r="E82">
        <v>0</v>
      </c>
      <c r="F82">
        <v>0</v>
      </c>
      <c r="G82">
        <v>0</v>
      </c>
      <c r="H82">
        <v>2.9</v>
      </c>
      <c r="I82">
        <v>90</v>
      </c>
      <c r="J82">
        <v>128</v>
      </c>
      <c r="K82">
        <v>255</v>
      </c>
      <c r="L82">
        <v>90</v>
      </c>
      <c r="M82" t="s">
        <v>19</v>
      </c>
      <c r="O82">
        <v>1.236</v>
      </c>
      <c r="P82">
        <v>2.415</v>
      </c>
      <c r="Q82">
        <v>14.2</v>
      </c>
      <c r="R82">
        <v>2.143</v>
      </c>
      <c r="S82">
        <v>121.1</v>
      </c>
    </row>
    <row r="83" spans="2:19">
      <c r="B83" s="6">
        <v>75</v>
      </c>
      <c r="C83">
        <v>6</v>
      </c>
      <c r="D83" t="s">
        <v>0</v>
      </c>
      <c r="E83">
        <v>-3</v>
      </c>
      <c r="F83">
        <v>-3</v>
      </c>
      <c r="G83">
        <v>-3</v>
      </c>
      <c r="H83">
        <v>2.9</v>
      </c>
      <c r="I83">
        <v>90</v>
      </c>
      <c r="J83">
        <v>128</v>
      </c>
      <c r="K83">
        <v>160</v>
      </c>
      <c r="L83">
        <v>-35</v>
      </c>
      <c r="M83" t="s">
        <v>15</v>
      </c>
      <c r="O83">
        <v>0</v>
      </c>
      <c r="P83">
        <v>0</v>
      </c>
      <c r="Q83">
        <v>193400000</v>
      </c>
      <c r="R83">
        <v>3.613</v>
      </c>
    </row>
    <row r="84" spans="2:19">
      <c r="B84" s="6">
        <v>76</v>
      </c>
      <c r="C84">
        <v>6</v>
      </c>
      <c r="D84" t="s">
        <v>1</v>
      </c>
      <c r="E84">
        <v>-3</v>
      </c>
      <c r="F84">
        <v>-3</v>
      </c>
      <c r="G84">
        <v>-3</v>
      </c>
      <c r="H84">
        <v>2.9</v>
      </c>
      <c r="I84">
        <v>90</v>
      </c>
      <c r="J84">
        <v>128</v>
      </c>
      <c r="K84">
        <v>160</v>
      </c>
      <c r="L84">
        <v>27</v>
      </c>
      <c r="M84" t="s">
        <v>15</v>
      </c>
      <c r="O84">
        <v>0.924</v>
      </c>
      <c r="P84">
        <v>1.114</v>
      </c>
      <c r="Q84">
        <v>34.24</v>
      </c>
      <c r="R84">
        <v>2.394</v>
      </c>
      <c r="S84">
        <v>78.79000000000001</v>
      </c>
    </row>
    <row r="85" spans="2:19">
      <c r="B85" s="6">
        <v>77</v>
      </c>
      <c r="C85">
        <v>6</v>
      </c>
      <c r="D85" t="s">
        <v>2</v>
      </c>
      <c r="E85">
        <v>-3</v>
      </c>
      <c r="F85">
        <v>-3</v>
      </c>
      <c r="G85">
        <v>-3</v>
      </c>
      <c r="H85">
        <v>2.9</v>
      </c>
      <c r="I85">
        <v>90</v>
      </c>
      <c r="J85">
        <v>128</v>
      </c>
      <c r="K85">
        <v>160</v>
      </c>
      <c r="L85">
        <v>90</v>
      </c>
      <c r="M85" t="s">
        <v>15</v>
      </c>
      <c r="O85">
        <v>1.199</v>
      </c>
      <c r="P85">
        <v>1.496</v>
      </c>
      <c r="Q85">
        <v>18.64</v>
      </c>
      <c r="R85">
        <v>2.004</v>
      </c>
      <c r="S85">
        <v>73.84</v>
      </c>
    </row>
    <row r="86" spans="2:19">
      <c r="B86" s="6">
        <v>78</v>
      </c>
      <c r="C86">
        <v>6</v>
      </c>
      <c r="D86" t="s">
        <v>3</v>
      </c>
      <c r="E86">
        <v>0</v>
      </c>
      <c r="F86">
        <v>0</v>
      </c>
      <c r="G86">
        <v>0</v>
      </c>
      <c r="H86">
        <v>2.9</v>
      </c>
      <c r="I86">
        <v>90</v>
      </c>
      <c r="J86">
        <v>128</v>
      </c>
      <c r="K86">
        <v>160</v>
      </c>
      <c r="L86">
        <v>-35</v>
      </c>
      <c r="M86" t="s">
        <v>16</v>
      </c>
      <c r="O86">
        <v>0</v>
      </c>
      <c r="P86">
        <v>0</v>
      </c>
      <c r="Q86">
        <v>96110000</v>
      </c>
      <c r="R86">
        <v>3.771</v>
      </c>
    </row>
    <row r="87" spans="2:19">
      <c r="B87" s="6">
        <v>79</v>
      </c>
      <c r="C87">
        <v>6</v>
      </c>
      <c r="D87" t="s">
        <v>4</v>
      </c>
      <c r="E87">
        <v>0</v>
      </c>
      <c r="F87">
        <v>0</v>
      </c>
      <c r="G87">
        <v>0</v>
      </c>
      <c r="H87">
        <v>2.9</v>
      </c>
      <c r="I87">
        <v>90</v>
      </c>
      <c r="J87">
        <v>128</v>
      </c>
      <c r="K87">
        <v>160</v>
      </c>
      <c r="L87">
        <v>27</v>
      </c>
      <c r="M87" t="s">
        <v>16</v>
      </c>
      <c r="O87">
        <v>0.947</v>
      </c>
      <c r="P87">
        <v>1.131</v>
      </c>
      <c r="Q87">
        <v>29.89</v>
      </c>
      <c r="R87">
        <v>2.605</v>
      </c>
      <c r="S87">
        <v>203</v>
      </c>
    </row>
    <row r="88" spans="2:19">
      <c r="B88" s="6">
        <v>80</v>
      </c>
      <c r="C88">
        <v>6</v>
      </c>
      <c r="D88" t="s">
        <v>5</v>
      </c>
      <c r="E88">
        <v>0</v>
      </c>
      <c r="F88">
        <v>0</v>
      </c>
      <c r="G88">
        <v>0</v>
      </c>
      <c r="H88">
        <v>2.9</v>
      </c>
      <c r="I88">
        <v>90</v>
      </c>
      <c r="J88">
        <v>128</v>
      </c>
      <c r="K88">
        <v>160</v>
      </c>
      <c r="L88">
        <v>90</v>
      </c>
      <c r="M88" t="s">
        <v>16</v>
      </c>
      <c r="O88">
        <v>1.236</v>
      </c>
      <c r="P88">
        <v>1.543</v>
      </c>
      <c r="Q88">
        <v>16.64</v>
      </c>
      <c r="R88">
        <v>1.946</v>
      </c>
      <c r="S88">
        <v>128.9</v>
      </c>
    </row>
    <row r="89" spans="2:19">
      <c r="B89" s="6">
        <v>81</v>
      </c>
      <c r="C89">
        <v>6</v>
      </c>
      <c r="D89" t="s">
        <v>6</v>
      </c>
      <c r="E89">
        <v>0</v>
      </c>
      <c r="F89">
        <v>0</v>
      </c>
      <c r="G89">
        <v>0</v>
      </c>
      <c r="H89">
        <v>2.9</v>
      </c>
      <c r="I89">
        <v>90</v>
      </c>
      <c r="J89">
        <v>128</v>
      </c>
      <c r="K89">
        <v>160</v>
      </c>
      <c r="L89">
        <v>-35</v>
      </c>
      <c r="M89" t="s">
        <v>17</v>
      </c>
      <c r="O89">
        <v>0</v>
      </c>
      <c r="P89">
        <v>0</v>
      </c>
      <c r="Q89">
        <v>125300000</v>
      </c>
      <c r="R89">
        <v>4.132</v>
      </c>
    </row>
    <row r="90" spans="2:19">
      <c r="B90" s="6">
        <v>82</v>
      </c>
      <c r="C90">
        <v>6</v>
      </c>
      <c r="D90" t="s">
        <v>7</v>
      </c>
      <c r="E90">
        <v>0</v>
      </c>
      <c r="F90">
        <v>0</v>
      </c>
      <c r="G90">
        <v>0</v>
      </c>
      <c r="H90">
        <v>2.9</v>
      </c>
      <c r="I90">
        <v>90</v>
      </c>
      <c r="J90">
        <v>128</v>
      </c>
      <c r="K90">
        <v>160</v>
      </c>
      <c r="L90">
        <v>27</v>
      </c>
      <c r="M90" t="s">
        <v>17</v>
      </c>
      <c r="O90">
        <v>0.957</v>
      </c>
      <c r="P90">
        <v>1.153</v>
      </c>
      <c r="Q90">
        <v>31.21</v>
      </c>
      <c r="R90">
        <v>2.823</v>
      </c>
      <c r="S90">
        <v>81.51000000000001</v>
      </c>
    </row>
    <row r="91" spans="2:19">
      <c r="B91" s="6">
        <v>83</v>
      </c>
      <c r="C91">
        <v>6</v>
      </c>
      <c r="D91" t="s">
        <v>8</v>
      </c>
      <c r="E91">
        <v>0</v>
      </c>
      <c r="F91">
        <v>0</v>
      </c>
      <c r="G91">
        <v>0</v>
      </c>
      <c r="H91">
        <v>2.9</v>
      </c>
      <c r="I91">
        <v>90</v>
      </c>
      <c r="J91">
        <v>128</v>
      </c>
      <c r="K91">
        <v>160</v>
      </c>
      <c r="L91">
        <v>90</v>
      </c>
      <c r="M91" t="s">
        <v>17</v>
      </c>
      <c r="O91">
        <v>1.235</v>
      </c>
      <c r="P91">
        <v>1.542</v>
      </c>
      <c r="Q91">
        <v>14.5</v>
      </c>
      <c r="R91">
        <v>2.394</v>
      </c>
      <c r="S91">
        <v>61.17</v>
      </c>
    </row>
    <row r="92" spans="2:19">
      <c r="B92" s="6">
        <v>84</v>
      </c>
      <c r="C92">
        <v>6</v>
      </c>
      <c r="D92" t="s">
        <v>9</v>
      </c>
      <c r="E92">
        <v>3</v>
      </c>
      <c r="F92">
        <v>3</v>
      </c>
      <c r="G92">
        <v>3</v>
      </c>
      <c r="H92">
        <v>2.9</v>
      </c>
      <c r="I92">
        <v>90</v>
      </c>
      <c r="J92">
        <v>128</v>
      </c>
      <c r="K92">
        <v>160</v>
      </c>
      <c r="L92">
        <v>-35</v>
      </c>
      <c r="M92" t="s">
        <v>18</v>
      </c>
      <c r="O92">
        <v>0</v>
      </c>
      <c r="P92">
        <v>0</v>
      </c>
      <c r="Q92">
        <v>50950000</v>
      </c>
      <c r="R92">
        <v>4.512</v>
      </c>
    </row>
    <row r="93" spans="2:19">
      <c r="B93" s="6">
        <v>85</v>
      </c>
      <c r="C93">
        <v>6</v>
      </c>
      <c r="D93" t="s">
        <v>10</v>
      </c>
      <c r="E93">
        <v>3</v>
      </c>
      <c r="F93">
        <v>3</v>
      </c>
      <c r="G93">
        <v>3</v>
      </c>
      <c r="H93">
        <v>2.9</v>
      </c>
      <c r="I93">
        <v>90</v>
      </c>
      <c r="J93">
        <v>128</v>
      </c>
      <c r="K93">
        <v>160</v>
      </c>
      <c r="L93">
        <v>27</v>
      </c>
      <c r="M93" t="s">
        <v>18</v>
      </c>
      <c r="O93">
        <v>0.983</v>
      </c>
      <c r="P93">
        <v>1.174</v>
      </c>
      <c r="Q93">
        <v>27.64</v>
      </c>
      <c r="R93">
        <v>3.057</v>
      </c>
      <c r="S93">
        <v>173.3</v>
      </c>
    </row>
    <row r="94" spans="2:19">
      <c r="B94" s="6">
        <v>86</v>
      </c>
      <c r="C94">
        <v>6</v>
      </c>
      <c r="D94" t="s">
        <v>11</v>
      </c>
      <c r="E94">
        <v>3</v>
      </c>
      <c r="F94">
        <v>3</v>
      </c>
      <c r="G94">
        <v>3</v>
      </c>
      <c r="H94">
        <v>2.9</v>
      </c>
      <c r="I94">
        <v>90</v>
      </c>
      <c r="J94">
        <v>128</v>
      </c>
      <c r="K94">
        <v>160</v>
      </c>
      <c r="L94">
        <v>90</v>
      </c>
      <c r="M94" t="s">
        <v>18</v>
      </c>
      <c r="O94">
        <v>1.258</v>
      </c>
      <c r="P94">
        <v>1.571</v>
      </c>
      <c r="Q94">
        <v>14.28</v>
      </c>
      <c r="R94">
        <v>2.345</v>
      </c>
      <c r="S94">
        <v>115</v>
      </c>
    </row>
    <row r="95" spans="2:19">
      <c r="B95" s="6">
        <v>87</v>
      </c>
      <c r="C95">
        <v>6</v>
      </c>
      <c r="D95" t="s">
        <v>12</v>
      </c>
      <c r="E95">
        <v>0</v>
      </c>
      <c r="F95">
        <v>0</v>
      </c>
      <c r="G95">
        <v>0</v>
      </c>
      <c r="H95">
        <v>2.9</v>
      </c>
      <c r="I95">
        <v>90</v>
      </c>
      <c r="J95">
        <v>128</v>
      </c>
      <c r="K95">
        <v>160</v>
      </c>
      <c r="L95">
        <v>-35</v>
      </c>
      <c r="M95" t="s">
        <v>19</v>
      </c>
      <c r="O95">
        <v>0</v>
      </c>
      <c r="P95">
        <v>0</v>
      </c>
      <c r="Q95">
        <v>118500000</v>
      </c>
      <c r="R95">
        <v>3.839</v>
      </c>
    </row>
    <row r="96" spans="2:19">
      <c r="B96" s="6">
        <v>88</v>
      </c>
      <c r="C96">
        <v>6</v>
      </c>
      <c r="D96" t="s">
        <v>13</v>
      </c>
      <c r="E96">
        <v>0</v>
      </c>
      <c r="F96">
        <v>0</v>
      </c>
      <c r="G96">
        <v>0</v>
      </c>
      <c r="H96">
        <v>2.9</v>
      </c>
      <c r="I96">
        <v>90</v>
      </c>
      <c r="J96">
        <v>128</v>
      </c>
      <c r="K96">
        <v>160</v>
      </c>
      <c r="L96">
        <v>27</v>
      </c>
      <c r="M96" t="s">
        <v>19</v>
      </c>
      <c r="O96">
        <v>0.953</v>
      </c>
      <c r="P96">
        <v>1.145</v>
      </c>
      <c r="Q96">
        <v>31.14</v>
      </c>
      <c r="R96">
        <v>2.668</v>
      </c>
      <c r="S96">
        <v>77.5</v>
      </c>
    </row>
    <row r="97" spans="2:19">
      <c r="B97" s="6">
        <v>89</v>
      </c>
      <c r="C97">
        <v>6</v>
      </c>
      <c r="D97" t="s">
        <v>14</v>
      </c>
      <c r="E97">
        <v>0</v>
      </c>
      <c r="F97">
        <v>0</v>
      </c>
      <c r="G97">
        <v>0</v>
      </c>
      <c r="H97">
        <v>2.9</v>
      </c>
      <c r="I97">
        <v>90</v>
      </c>
      <c r="J97">
        <v>128</v>
      </c>
      <c r="K97">
        <v>160</v>
      </c>
      <c r="L97">
        <v>90</v>
      </c>
      <c r="M97" t="s">
        <v>19</v>
      </c>
      <c r="O97">
        <v>1.236</v>
      </c>
      <c r="P97">
        <v>1.542</v>
      </c>
      <c r="Q97">
        <v>14.2</v>
      </c>
      <c r="R97">
        <v>2.143</v>
      </c>
      <c r="S97">
        <v>64.55</v>
      </c>
    </row>
    <row r="98" spans="2:19">
      <c r="B98" s="6">
        <v>90</v>
      </c>
      <c r="C98">
        <v>7</v>
      </c>
      <c r="D98" t="s">
        <v>0</v>
      </c>
      <c r="E98">
        <v>-3</v>
      </c>
      <c r="F98">
        <v>-3</v>
      </c>
      <c r="G98">
        <v>-3</v>
      </c>
      <c r="H98">
        <v>3</v>
      </c>
      <c r="I98">
        <v>90</v>
      </c>
      <c r="J98">
        <v>255</v>
      </c>
      <c r="K98">
        <v>128</v>
      </c>
      <c r="L98">
        <v>-35</v>
      </c>
      <c r="M98" t="s">
        <v>15</v>
      </c>
      <c r="O98">
        <v>0.61</v>
      </c>
      <c r="P98">
        <v>0.471</v>
      </c>
      <c r="Q98">
        <v>9.4</v>
      </c>
      <c r="R98">
        <v>1.745</v>
      </c>
      <c r="S98">
        <v>64.54000000000001</v>
      </c>
    </row>
    <row r="99" spans="2:19">
      <c r="B99" s="6">
        <v>91</v>
      </c>
      <c r="C99">
        <v>7</v>
      </c>
      <c r="D99" t="s">
        <v>1</v>
      </c>
      <c r="E99">
        <v>-3</v>
      </c>
      <c r="F99">
        <v>-3</v>
      </c>
      <c r="G99">
        <v>-3</v>
      </c>
      <c r="H99">
        <v>3</v>
      </c>
      <c r="I99">
        <v>90</v>
      </c>
      <c r="J99">
        <v>255</v>
      </c>
      <c r="K99">
        <v>128</v>
      </c>
      <c r="L99">
        <v>27</v>
      </c>
      <c r="M99" t="s">
        <v>15</v>
      </c>
      <c r="O99">
        <v>1.827</v>
      </c>
      <c r="P99">
        <v>0.971</v>
      </c>
      <c r="Q99">
        <v>25.07</v>
      </c>
      <c r="R99">
        <v>2.389</v>
      </c>
      <c r="S99">
        <v>18.61</v>
      </c>
    </row>
    <row r="100" spans="2:19">
      <c r="B100" s="6">
        <v>92</v>
      </c>
      <c r="C100">
        <v>7</v>
      </c>
      <c r="D100" t="s">
        <v>2</v>
      </c>
      <c r="E100">
        <v>-3</v>
      </c>
      <c r="F100">
        <v>-3</v>
      </c>
      <c r="G100">
        <v>-3</v>
      </c>
      <c r="H100">
        <v>3</v>
      </c>
      <c r="I100">
        <v>90</v>
      </c>
      <c r="J100">
        <v>255</v>
      </c>
      <c r="K100">
        <v>128</v>
      </c>
      <c r="L100">
        <v>90</v>
      </c>
      <c r="M100" t="s">
        <v>15</v>
      </c>
      <c r="O100">
        <v>2.383</v>
      </c>
      <c r="P100">
        <v>1.2</v>
      </c>
      <c r="Q100">
        <v>18.04</v>
      </c>
      <c r="R100">
        <v>2</v>
      </c>
      <c r="S100">
        <v>11.29</v>
      </c>
    </row>
    <row r="101" spans="2:19">
      <c r="B101" s="6">
        <v>93</v>
      </c>
      <c r="C101">
        <v>7</v>
      </c>
      <c r="D101" t="s">
        <v>3</v>
      </c>
      <c r="E101">
        <v>0</v>
      </c>
      <c r="F101">
        <v>0</v>
      </c>
      <c r="G101">
        <v>0</v>
      </c>
      <c r="H101">
        <v>3</v>
      </c>
      <c r="I101">
        <v>90</v>
      </c>
      <c r="J101">
        <v>255</v>
      </c>
      <c r="K101">
        <v>128</v>
      </c>
      <c r="L101">
        <v>-35</v>
      </c>
      <c r="M101" t="s">
        <v>16</v>
      </c>
      <c r="O101">
        <v>0.594</v>
      </c>
      <c r="P101">
        <v>0.475</v>
      </c>
      <c r="Q101">
        <v>8.087</v>
      </c>
      <c r="R101">
        <v>1.785</v>
      </c>
      <c r="S101">
        <v>115.4</v>
      </c>
    </row>
    <row r="102" spans="2:19">
      <c r="B102" s="6">
        <v>94</v>
      </c>
      <c r="C102">
        <v>7</v>
      </c>
      <c r="D102" t="s">
        <v>4</v>
      </c>
      <c r="E102">
        <v>0</v>
      </c>
      <c r="F102">
        <v>0</v>
      </c>
      <c r="G102">
        <v>0</v>
      </c>
      <c r="H102">
        <v>3</v>
      </c>
      <c r="I102">
        <v>90</v>
      </c>
      <c r="J102">
        <v>255</v>
      </c>
      <c r="K102">
        <v>128</v>
      </c>
      <c r="L102">
        <v>27</v>
      </c>
      <c r="M102" t="s">
        <v>16</v>
      </c>
      <c r="O102">
        <v>1.842</v>
      </c>
      <c r="P102">
        <v>1.006</v>
      </c>
      <c r="Q102">
        <v>19.7</v>
      </c>
      <c r="R102">
        <v>2.552</v>
      </c>
      <c r="S102">
        <v>34.74</v>
      </c>
    </row>
    <row r="103" spans="2:19">
      <c r="B103" s="6">
        <v>95</v>
      </c>
      <c r="C103">
        <v>7</v>
      </c>
      <c r="D103" t="s">
        <v>5</v>
      </c>
      <c r="E103">
        <v>0</v>
      </c>
      <c r="F103">
        <v>0</v>
      </c>
      <c r="G103">
        <v>0</v>
      </c>
      <c r="H103">
        <v>3</v>
      </c>
      <c r="I103">
        <v>90</v>
      </c>
      <c r="J103">
        <v>255</v>
      </c>
      <c r="K103">
        <v>128</v>
      </c>
      <c r="L103">
        <v>90</v>
      </c>
      <c r="M103" t="s">
        <v>16</v>
      </c>
      <c r="O103">
        <v>2.451</v>
      </c>
      <c r="P103">
        <v>1.238</v>
      </c>
      <c r="Q103">
        <v>14.91</v>
      </c>
      <c r="R103">
        <v>1.951</v>
      </c>
      <c r="S103">
        <v>21.44</v>
      </c>
    </row>
    <row r="104" spans="2:19">
      <c r="B104" s="6">
        <v>96</v>
      </c>
      <c r="C104">
        <v>7</v>
      </c>
      <c r="D104" t="s">
        <v>6</v>
      </c>
      <c r="E104">
        <v>0</v>
      </c>
      <c r="F104">
        <v>0</v>
      </c>
      <c r="G104">
        <v>0</v>
      </c>
      <c r="H104">
        <v>3</v>
      </c>
      <c r="I104">
        <v>90</v>
      </c>
      <c r="J104">
        <v>255</v>
      </c>
      <c r="K104">
        <v>128</v>
      </c>
      <c r="L104">
        <v>-35</v>
      </c>
      <c r="M104" t="s">
        <v>17</v>
      </c>
      <c r="O104">
        <v>0.624</v>
      </c>
      <c r="P104">
        <v>0.489</v>
      </c>
      <c r="Q104">
        <v>9.81</v>
      </c>
      <c r="R104">
        <v>2.152</v>
      </c>
      <c r="S104">
        <v>44.91</v>
      </c>
    </row>
    <row r="105" spans="2:19">
      <c r="B105" s="6">
        <v>97</v>
      </c>
      <c r="C105">
        <v>7</v>
      </c>
      <c r="D105" t="s">
        <v>7</v>
      </c>
      <c r="E105">
        <v>0</v>
      </c>
      <c r="F105">
        <v>0</v>
      </c>
      <c r="G105">
        <v>0</v>
      </c>
      <c r="H105">
        <v>3</v>
      </c>
      <c r="I105">
        <v>90</v>
      </c>
      <c r="J105">
        <v>255</v>
      </c>
      <c r="K105">
        <v>128</v>
      </c>
      <c r="L105">
        <v>27</v>
      </c>
      <c r="M105" t="s">
        <v>17</v>
      </c>
      <c r="O105">
        <v>1.885</v>
      </c>
      <c r="P105">
        <v>1.006</v>
      </c>
      <c r="Q105">
        <v>22.58</v>
      </c>
      <c r="R105">
        <v>2.814</v>
      </c>
      <c r="S105">
        <v>26.45</v>
      </c>
    </row>
    <row r="106" spans="2:19">
      <c r="B106" s="6">
        <v>98</v>
      </c>
      <c r="C106">
        <v>7</v>
      </c>
      <c r="D106" t="s">
        <v>8</v>
      </c>
      <c r="E106">
        <v>0</v>
      </c>
      <c r="F106">
        <v>0</v>
      </c>
      <c r="G106">
        <v>0</v>
      </c>
      <c r="H106">
        <v>3</v>
      </c>
      <c r="I106">
        <v>90</v>
      </c>
      <c r="J106">
        <v>255</v>
      </c>
      <c r="K106">
        <v>128</v>
      </c>
      <c r="L106">
        <v>90</v>
      </c>
      <c r="M106" t="s">
        <v>17</v>
      </c>
      <c r="O106">
        <v>2.455</v>
      </c>
      <c r="P106">
        <v>1.237</v>
      </c>
      <c r="Q106">
        <v>14.21</v>
      </c>
      <c r="R106">
        <v>2.401</v>
      </c>
      <c r="S106">
        <v>13.05</v>
      </c>
    </row>
    <row r="107" spans="2:19">
      <c r="B107" s="6">
        <v>99</v>
      </c>
      <c r="C107">
        <v>7</v>
      </c>
      <c r="D107" t="s">
        <v>9</v>
      </c>
      <c r="E107">
        <v>3</v>
      </c>
      <c r="F107">
        <v>3</v>
      </c>
      <c r="G107">
        <v>3</v>
      </c>
      <c r="H107">
        <v>3</v>
      </c>
      <c r="I107">
        <v>90</v>
      </c>
      <c r="J107">
        <v>255</v>
      </c>
      <c r="K107">
        <v>128</v>
      </c>
      <c r="L107">
        <v>-35</v>
      </c>
      <c r="M107" t="s">
        <v>18</v>
      </c>
      <c r="O107">
        <v>0.611</v>
      </c>
      <c r="P107">
        <v>0.494</v>
      </c>
      <c r="Q107">
        <v>7.214</v>
      </c>
      <c r="R107">
        <v>2.235</v>
      </c>
      <c r="S107">
        <v>123.3</v>
      </c>
    </row>
    <row r="108" spans="2:19">
      <c r="B108" s="6">
        <v>100</v>
      </c>
      <c r="C108">
        <v>7</v>
      </c>
      <c r="D108" t="s">
        <v>10</v>
      </c>
      <c r="E108">
        <v>3</v>
      </c>
      <c r="F108">
        <v>3</v>
      </c>
      <c r="G108">
        <v>3</v>
      </c>
      <c r="H108">
        <v>3</v>
      </c>
      <c r="I108">
        <v>90</v>
      </c>
      <c r="J108">
        <v>255</v>
      </c>
      <c r="K108">
        <v>128</v>
      </c>
      <c r="L108">
        <v>27</v>
      </c>
      <c r="M108" t="s">
        <v>18</v>
      </c>
      <c r="O108">
        <v>1.903</v>
      </c>
      <c r="P108">
        <v>1.041</v>
      </c>
      <c r="Q108">
        <v>17.87</v>
      </c>
      <c r="R108">
        <v>2.927</v>
      </c>
      <c r="S108">
        <v>40.56</v>
      </c>
    </row>
    <row r="109" spans="2:19">
      <c r="B109" s="6">
        <v>101</v>
      </c>
      <c r="C109">
        <v>7</v>
      </c>
      <c r="D109" t="s">
        <v>11</v>
      </c>
      <c r="E109">
        <v>3</v>
      </c>
      <c r="F109">
        <v>3</v>
      </c>
      <c r="G109">
        <v>3</v>
      </c>
      <c r="H109">
        <v>3</v>
      </c>
      <c r="I109">
        <v>90</v>
      </c>
      <c r="J109">
        <v>255</v>
      </c>
      <c r="K109">
        <v>128</v>
      </c>
      <c r="L109">
        <v>90</v>
      </c>
      <c r="M109" t="s">
        <v>18</v>
      </c>
      <c r="O109">
        <v>2.496</v>
      </c>
      <c r="P109">
        <v>1.26</v>
      </c>
      <c r="Q109">
        <v>13.28</v>
      </c>
      <c r="R109">
        <v>2.355</v>
      </c>
      <c r="S109">
        <v>22.7</v>
      </c>
    </row>
    <row r="110" spans="2:19">
      <c r="B110" s="6">
        <v>102</v>
      </c>
      <c r="C110">
        <v>7</v>
      </c>
      <c r="D110" t="s">
        <v>12</v>
      </c>
      <c r="E110">
        <v>0</v>
      </c>
      <c r="F110">
        <v>0</v>
      </c>
      <c r="G110">
        <v>0</v>
      </c>
      <c r="H110">
        <v>3</v>
      </c>
      <c r="I110">
        <v>90</v>
      </c>
      <c r="J110">
        <v>255</v>
      </c>
      <c r="K110">
        <v>128</v>
      </c>
      <c r="L110">
        <v>-35</v>
      </c>
      <c r="M110" t="s">
        <v>19</v>
      </c>
      <c r="O110">
        <v>0.613</v>
      </c>
      <c r="P110">
        <v>0.484</v>
      </c>
      <c r="Q110">
        <v>8.962</v>
      </c>
      <c r="R110">
        <v>1.959</v>
      </c>
      <c r="S110">
        <v>84.22</v>
      </c>
    </row>
    <row r="111" spans="2:19">
      <c r="B111" s="6">
        <v>103</v>
      </c>
      <c r="C111">
        <v>7</v>
      </c>
      <c r="D111" t="s">
        <v>13</v>
      </c>
      <c r="E111">
        <v>0</v>
      </c>
      <c r="F111">
        <v>0</v>
      </c>
      <c r="G111">
        <v>0</v>
      </c>
      <c r="H111">
        <v>3</v>
      </c>
      <c r="I111">
        <v>90</v>
      </c>
      <c r="J111">
        <v>255</v>
      </c>
      <c r="K111">
        <v>128</v>
      </c>
      <c r="L111">
        <v>27</v>
      </c>
      <c r="M111" t="s">
        <v>19</v>
      </c>
      <c r="O111">
        <v>1.87</v>
      </c>
      <c r="P111">
        <v>1.006</v>
      </c>
      <c r="Q111">
        <v>21.83</v>
      </c>
      <c r="R111">
        <v>2.644</v>
      </c>
      <c r="S111">
        <v>26.11</v>
      </c>
    </row>
    <row r="112" spans="2:19">
      <c r="B112" s="6">
        <v>104</v>
      </c>
      <c r="C112">
        <v>7</v>
      </c>
      <c r="D112" t="s">
        <v>14</v>
      </c>
      <c r="E112">
        <v>0</v>
      </c>
      <c r="F112">
        <v>0</v>
      </c>
      <c r="G112">
        <v>0</v>
      </c>
      <c r="H112">
        <v>3</v>
      </c>
      <c r="I112">
        <v>90</v>
      </c>
      <c r="J112">
        <v>255</v>
      </c>
      <c r="K112">
        <v>128</v>
      </c>
      <c r="L112">
        <v>90</v>
      </c>
      <c r="M112" t="s">
        <v>19</v>
      </c>
      <c r="O112">
        <v>2.454</v>
      </c>
      <c r="P112">
        <v>1.237</v>
      </c>
      <c r="Q112">
        <v>13.7</v>
      </c>
      <c r="R112">
        <v>2.149</v>
      </c>
      <c r="S112">
        <v>14.94</v>
      </c>
    </row>
    <row r="113" spans="2:19">
      <c r="B113" s="6">
        <v>105</v>
      </c>
      <c r="C113">
        <v>8</v>
      </c>
      <c r="D113" t="s">
        <v>0</v>
      </c>
      <c r="E113">
        <v>-3</v>
      </c>
      <c r="F113">
        <v>-3</v>
      </c>
      <c r="G113">
        <v>-3</v>
      </c>
      <c r="H113">
        <v>3</v>
      </c>
      <c r="I113">
        <v>90</v>
      </c>
      <c r="J113">
        <v>128</v>
      </c>
      <c r="K113">
        <v>255</v>
      </c>
      <c r="L113">
        <v>-35</v>
      </c>
      <c r="M113" t="s">
        <v>15</v>
      </c>
      <c r="O113">
        <v>0.471</v>
      </c>
      <c r="P113">
        <v>0.61</v>
      </c>
      <c r="Q113">
        <v>23.19</v>
      </c>
      <c r="R113">
        <v>2.735</v>
      </c>
      <c r="S113">
        <v>114</v>
      </c>
    </row>
    <row r="114" spans="2:19">
      <c r="B114" s="6">
        <v>106</v>
      </c>
      <c r="C114">
        <v>8</v>
      </c>
      <c r="D114" t="s">
        <v>1</v>
      </c>
      <c r="E114">
        <v>-3</v>
      </c>
      <c r="F114">
        <v>-3</v>
      </c>
      <c r="G114">
        <v>-3</v>
      </c>
      <c r="H114">
        <v>3</v>
      </c>
      <c r="I114">
        <v>90</v>
      </c>
      <c r="J114">
        <v>128</v>
      </c>
      <c r="K114">
        <v>255</v>
      </c>
      <c r="L114">
        <v>27</v>
      </c>
      <c r="M114" t="s">
        <v>15</v>
      </c>
      <c r="O114">
        <v>0.971</v>
      </c>
      <c r="P114">
        <v>1.827</v>
      </c>
      <c r="Q114">
        <v>41.43</v>
      </c>
      <c r="R114">
        <v>2.395</v>
      </c>
      <c r="S114">
        <v>88.63</v>
      </c>
    </row>
    <row r="115" spans="2:19">
      <c r="B115" s="6">
        <v>107</v>
      </c>
      <c r="C115">
        <v>8</v>
      </c>
      <c r="D115" t="s">
        <v>2</v>
      </c>
      <c r="E115">
        <v>-3</v>
      </c>
      <c r="F115">
        <v>-3</v>
      </c>
      <c r="G115">
        <v>-3</v>
      </c>
      <c r="H115">
        <v>3</v>
      </c>
      <c r="I115">
        <v>90</v>
      </c>
      <c r="J115">
        <v>128</v>
      </c>
      <c r="K115">
        <v>255</v>
      </c>
      <c r="L115">
        <v>90</v>
      </c>
      <c r="M115" t="s">
        <v>15</v>
      </c>
      <c r="O115">
        <v>1.2</v>
      </c>
      <c r="P115">
        <v>2.383</v>
      </c>
      <c r="Q115">
        <v>18.43</v>
      </c>
      <c r="R115">
        <v>1.996</v>
      </c>
      <c r="S115">
        <v>116.9</v>
      </c>
    </row>
    <row r="116" spans="2:19">
      <c r="B116" s="6">
        <v>108</v>
      </c>
      <c r="C116">
        <v>8</v>
      </c>
      <c r="D116" t="s">
        <v>3</v>
      </c>
      <c r="E116">
        <v>0</v>
      </c>
      <c r="F116">
        <v>0</v>
      </c>
      <c r="G116">
        <v>0</v>
      </c>
      <c r="H116">
        <v>3</v>
      </c>
      <c r="I116">
        <v>90</v>
      </c>
      <c r="J116">
        <v>128</v>
      </c>
      <c r="K116">
        <v>255</v>
      </c>
      <c r="L116">
        <v>-35</v>
      </c>
      <c r="M116" t="s">
        <v>16</v>
      </c>
      <c r="O116">
        <v>0.475</v>
      </c>
      <c r="P116">
        <v>0.594</v>
      </c>
      <c r="Q116">
        <v>21.27</v>
      </c>
      <c r="R116">
        <v>2.67</v>
      </c>
      <c r="S116">
        <v>343.7</v>
      </c>
    </row>
    <row r="117" spans="2:19">
      <c r="B117" s="6">
        <v>109</v>
      </c>
      <c r="C117">
        <v>8</v>
      </c>
      <c r="D117" t="s">
        <v>4</v>
      </c>
      <c r="E117">
        <v>0</v>
      </c>
      <c r="F117">
        <v>0</v>
      </c>
      <c r="G117">
        <v>0</v>
      </c>
      <c r="H117">
        <v>3</v>
      </c>
      <c r="I117">
        <v>90</v>
      </c>
      <c r="J117">
        <v>128</v>
      </c>
      <c r="K117">
        <v>255</v>
      </c>
      <c r="L117">
        <v>27</v>
      </c>
      <c r="M117" t="s">
        <v>16</v>
      </c>
      <c r="O117">
        <v>1.006</v>
      </c>
      <c r="P117">
        <v>1.842</v>
      </c>
      <c r="Q117">
        <v>36.8</v>
      </c>
      <c r="R117">
        <v>2.626</v>
      </c>
      <c r="S117">
        <v>161.1</v>
      </c>
    </row>
    <row r="118" spans="2:19">
      <c r="B118" s="6">
        <v>110</v>
      </c>
      <c r="C118">
        <v>8</v>
      </c>
      <c r="D118" t="s">
        <v>5</v>
      </c>
      <c r="E118">
        <v>0</v>
      </c>
      <c r="F118">
        <v>0</v>
      </c>
      <c r="G118">
        <v>0</v>
      </c>
      <c r="H118">
        <v>3</v>
      </c>
      <c r="I118">
        <v>90</v>
      </c>
      <c r="J118">
        <v>128</v>
      </c>
      <c r="K118">
        <v>255</v>
      </c>
      <c r="L118">
        <v>90</v>
      </c>
      <c r="M118" t="s">
        <v>16</v>
      </c>
      <c r="O118">
        <v>1.238</v>
      </c>
      <c r="P118">
        <v>2.451</v>
      </c>
      <c r="Q118">
        <v>15.85</v>
      </c>
      <c r="R118">
        <v>1.94</v>
      </c>
      <c r="S118">
        <v>164</v>
      </c>
    </row>
    <row r="119" spans="2:19">
      <c r="B119" s="6">
        <v>111</v>
      </c>
      <c r="C119">
        <v>8</v>
      </c>
      <c r="D119" t="s">
        <v>6</v>
      </c>
      <c r="E119">
        <v>0</v>
      </c>
      <c r="F119">
        <v>0</v>
      </c>
      <c r="G119">
        <v>0</v>
      </c>
      <c r="H119">
        <v>3</v>
      </c>
      <c r="I119">
        <v>90</v>
      </c>
      <c r="J119">
        <v>128</v>
      </c>
      <c r="K119">
        <v>255</v>
      </c>
      <c r="L119">
        <v>-35</v>
      </c>
      <c r="M119" t="s">
        <v>17</v>
      </c>
      <c r="O119">
        <v>0.488</v>
      </c>
      <c r="P119">
        <v>0.624</v>
      </c>
      <c r="Q119">
        <v>25.37</v>
      </c>
      <c r="R119">
        <v>3.148</v>
      </c>
      <c r="S119">
        <v>148</v>
      </c>
    </row>
    <row r="120" spans="2:19">
      <c r="B120" s="6">
        <v>112</v>
      </c>
      <c r="C120">
        <v>8</v>
      </c>
      <c r="D120" t="s">
        <v>7</v>
      </c>
      <c r="E120">
        <v>0</v>
      </c>
      <c r="F120">
        <v>0</v>
      </c>
      <c r="G120">
        <v>0</v>
      </c>
      <c r="H120">
        <v>3</v>
      </c>
      <c r="I120">
        <v>90</v>
      </c>
      <c r="J120">
        <v>128</v>
      </c>
      <c r="K120">
        <v>255</v>
      </c>
      <c r="L120">
        <v>27</v>
      </c>
      <c r="M120" t="s">
        <v>17</v>
      </c>
      <c r="O120">
        <v>1.006</v>
      </c>
      <c r="P120">
        <v>1.885</v>
      </c>
      <c r="Q120">
        <v>37.27</v>
      </c>
      <c r="R120">
        <v>2.825</v>
      </c>
      <c r="S120">
        <v>112.1</v>
      </c>
    </row>
    <row r="121" spans="2:19">
      <c r="B121" s="6">
        <v>113</v>
      </c>
      <c r="C121">
        <v>8</v>
      </c>
      <c r="D121" t="s">
        <v>8</v>
      </c>
      <c r="E121">
        <v>0</v>
      </c>
      <c r="F121">
        <v>0</v>
      </c>
      <c r="G121">
        <v>0</v>
      </c>
      <c r="H121">
        <v>3</v>
      </c>
      <c r="I121">
        <v>90</v>
      </c>
      <c r="J121">
        <v>128</v>
      </c>
      <c r="K121">
        <v>255</v>
      </c>
      <c r="L121">
        <v>90</v>
      </c>
      <c r="M121" t="s">
        <v>17</v>
      </c>
      <c r="O121">
        <v>1.237</v>
      </c>
      <c r="P121">
        <v>2.455</v>
      </c>
      <c r="Q121">
        <v>14.6</v>
      </c>
      <c r="R121">
        <v>2.395</v>
      </c>
      <c r="S121">
        <v>103.2</v>
      </c>
    </row>
    <row r="122" spans="2:19">
      <c r="B122" s="6">
        <v>114</v>
      </c>
      <c r="C122">
        <v>8</v>
      </c>
      <c r="D122" t="s">
        <v>9</v>
      </c>
      <c r="E122">
        <v>3</v>
      </c>
      <c r="F122">
        <v>3</v>
      </c>
      <c r="G122">
        <v>3</v>
      </c>
      <c r="H122">
        <v>3</v>
      </c>
      <c r="I122">
        <v>90</v>
      </c>
      <c r="J122">
        <v>128</v>
      </c>
      <c r="K122">
        <v>255</v>
      </c>
      <c r="L122">
        <v>-35</v>
      </c>
      <c r="M122" t="s">
        <v>18</v>
      </c>
      <c r="O122">
        <v>0.494</v>
      </c>
      <c r="P122">
        <v>0.611</v>
      </c>
      <c r="Q122">
        <v>19.91</v>
      </c>
      <c r="R122">
        <v>3.227</v>
      </c>
      <c r="S122">
        <v>276.8</v>
      </c>
    </row>
    <row r="123" spans="2:19">
      <c r="B123" s="6">
        <v>115</v>
      </c>
      <c r="C123">
        <v>8</v>
      </c>
      <c r="D123" t="s">
        <v>10</v>
      </c>
      <c r="E123">
        <v>3</v>
      </c>
      <c r="F123">
        <v>3</v>
      </c>
      <c r="G123">
        <v>3</v>
      </c>
      <c r="H123">
        <v>3</v>
      </c>
      <c r="I123">
        <v>90</v>
      </c>
      <c r="J123">
        <v>128</v>
      </c>
      <c r="K123">
        <v>255</v>
      </c>
      <c r="L123">
        <v>27</v>
      </c>
      <c r="M123" t="s">
        <v>18</v>
      </c>
      <c r="O123">
        <v>1.041</v>
      </c>
      <c r="P123">
        <v>1.903</v>
      </c>
      <c r="Q123">
        <v>33.37</v>
      </c>
      <c r="R123">
        <v>3.088</v>
      </c>
      <c r="S123">
        <v>184.8</v>
      </c>
    </row>
    <row r="124" spans="2:19">
      <c r="B124" s="6">
        <v>116</v>
      </c>
      <c r="C124">
        <v>8</v>
      </c>
      <c r="D124" t="s">
        <v>11</v>
      </c>
      <c r="E124">
        <v>3</v>
      </c>
      <c r="F124">
        <v>3</v>
      </c>
      <c r="G124">
        <v>3</v>
      </c>
      <c r="H124">
        <v>3</v>
      </c>
      <c r="I124">
        <v>90</v>
      </c>
      <c r="J124">
        <v>128</v>
      </c>
      <c r="K124">
        <v>255</v>
      </c>
      <c r="L124">
        <v>90</v>
      </c>
      <c r="M124" t="s">
        <v>18</v>
      </c>
      <c r="O124">
        <v>1.26</v>
      </c>
      <c r="P124">
        <v>2.496</v>
      </c>
      <c r="Q124">
        <v>14.26</v>
      </c>
      <c r="R124">
        <v>2.344</v>
      </c>
      <c r="S124">
        <v>157.7</v>
      </c>
    </row>
    <row r="125" spans="2:19">
      <c r="B125" s="6">
        <v>117</v>
      </c>
      <c r="C125">
        <v>8</v>
      </c>
      <c r="D125" t="s">
        <v>12</v>
      </c>
      <c r="E125">
        <v>0</v>
      </c>
      <c r="F125">
        <v>0</v>
      </c>
      <c r="G125">
        <v>0</v>
      </c>
      <c r="H125">
        <v>3</v>
      </c>
      <c r="I125">
        <v>90</v>
      </c>
      <c r="J125">
        <v>128</v>
      </c>
      <c r="K125">
        <v>255</v>
      </c>
      <c r="L125">
        <v>-35</v>
      </c>
      <c r="M125" t="s">
        <v>19</v>
      </c>
      <c r="O125">
        <v>0.483</v>
      </c>
      <c r="P125">
        <v>0.613</v>
      </c>
      <c r="Q125">
        <v>22.57</v>
      </c>
      <c r="R125">
        <v>2.88</v>
      </c>
      <c r="S125">
        <v>164</v>
      </c>
    </row>
    <row r="126" spans="2:19">
      <c r="B126" s="6">
        <v>118</v>
      </c>
      <c r="C126">
        <v>8</v>
      </c>
      <c r="D126" t="s">
        <v>13</v>
      </c>
      <c r="E126">
        <v>0</v>
      </c>
      <c r="F126">
        <v>0</v>
      </c>
      <c r="G126">
        <v>0</v>
      </c>
      <c r="H126">
        <v>3</v>
      </c>
      <c r="I126">
        <v>90</v>
      </c>
      <c r="J126">
        <v>128</v>
      </c>
      <c r="K126">
        <v>255</v>
      </c>
      <c r="L126">
        <v>27</v>
      </c>
      <c r="M126" t="s">
        <v>19</v>
      </c>
      <c r="O126">
        <v>1.006</v>
      </c>
      <c r="P126">
        <v>1.87</v>
      </c>
      <c r="Q126">
        <v>37.61</v>
      </c>
      <c r="R126">
        <v>2.679</v>
      </c>
      <c r="S126">
        <v>123.2</v>
      </c>
    </row>
    <row r="127" spans="2:19">
      <c r="B127" s="6">
        <v>119</v>
      </c>
      <c r="C127">
        <v>8</v>
      </c>
      <c r="D127" t="s">
        <v>14</v>
      </c>
      <c r="E127">
        <v>0</v>
      </c>
      <c r="F127">
        <v>0</v>
      </c>
      <c r="G127">
        <v>0</v>
      </c>
      <c r="H127">
        <v>3</v>
      </c>
      <c r="I127">
        <v>90</v>
      </c>
      <c r="J127">
        <v>128</v>
      </c>
      <c r="K127">
        <v>255</v>
      </c>
      <c r="L127">
        <v>90</v>
      </c>
      <c r="M127" t="s">
        <v>19</v>
      </c>
      <c r="O127">
        <v>1.237</v>
      </c>
      <c r="P127">
        <v>2.454</v>
      </c>
      <c r="Q127">
        <v>14.2</v>
      </c>
      <c r="R127">
        <v>2.143</v>
      </c>
      <c r="S127">
        <v>112.7</v>
      </c>
    </row>
    <row r="128" spans="2:19">
      <c r="B128" s="6">
        <v>120</v>
      </c>
      <c r="C128">
        <v>9</v>
      </c>
      <c r="D128" t="s">
        <v>0</v>
      </c>
      <c r="E128">
        <v>-3</v>
      </c>
      <c r="F128">
        <v>-3</v>
      </c>
      <c r="G128">
        <v>-3</v>
      </c>
      <c r="H128">
        <v>3</v>
      </c>
      <c r="I128">
        <v>90</v>
      </c>
      <c r="J128">
        <v>128</v>
      </c>
      <c r="K128">
        <v>160</v>
      </c>
      <c r="L128">
        <v>-35</v>
      </c>
      <c r="M128" t="s">
        <v>15</v>
      </c>
      <c r="O128">
        <v>0.471</v>
      </c>
      <c r="P128">
        <v>0.523</v>
      </c>
      <c r="Q128">
        <v>23.19</v>
      </c>
      <c r="R128">
        <v>2.735</v>
      </c>
      <c r="S128">
        <v>136.7</v>
      </c>
    </row>
    <row r="129" spans="2:19">
      <c r="B129" s="6">
        <v>121</v>
      </c>
      <c r="C129">
        <v>9</v>
      </c>
      <c r="D129" t="s">
        <v>1</v>
      </c>
      <c r="E129">
        <v>-3</v>
      </c>
      <c r="F129">
        <v>-3</v>
      </c>
      <c r="G129">
        <v>-3</v>
      </c>
      <c r="H129">
        <v>3</v>
      </c>
      <c r="I129">
        <v>90</v>
      </c>
      <c r="J129">
        <v>128</v>
      </c>
      <c r="K129">
        <v>160</v>
      </c>
      <c r="L129">
        <v>27</v>
      </c>
      <c r="M129" t="s">
        <v>15</v>
      </c>
      <c r="O129">
        <v>0.971</v>
      </c>
      <c r="P129">
        <v>1.206</v>
      </c>
      <c r="Q129">
        <v>41.43</v>
      </c>
      <c r="R129">
        <v>2.395</v>
      </c>
      <c r="S129">
        <v>71.68000000000001</v>
      </c>
    </row>
    <row r="130" spans="2:19">
      <c r="B130" s="6">
        <v>122</v>
      </c>
      <c r="C130">
        <v>9</v>
      </c>
      <c r="D130" t="s">
        <v>2</v>
      </c>
      <c r="E130">
        <v>-3</v>
      </c>
      <c r="F130">
        <v>-3</v>
      </c>
      <c r="G130">
        <v>-3</v>
      </c>
      <c r="H130">
        <v>3</v>
      </c>
      <c r="I130">
        <v>90</v>
      </c>
      <c r="J130">
        <v>128</v>
      </c>
      <c r="K130">
        <v>160</v>
      </c>
      <c r="L130">
        <v>90</v>
      </c>
      <c r="M130" t="s">
        <v>15</v>
      </c>
      <c r="O130">
        <v>1.2</v>
      </c>
      <c r="P130">
        <v>1.5</v>
      </c>
      <c r="Q130">
        <v>18.43</v>
      </c>
      <c r="R130">
        <v>1.996</v>
      </c>
      <c r="S130">
        <v>72.15000000000001</v>
      </c>
    </row>
    <row r="131" spans="2:19">
      <c r="B131" s="6">
        <v>123</v>
      </c>
      <c r="C131">
        <v>9</v>
      </c>
      <c r="D131" t="s">
        <v>3</v>
      </c>
      <c r="E131">
        <v>0</v>
      </c>
      <c r="F131">
        <v>0</v>
      </c>
      <c r="G131">
        <v>0</v>
      </c>
      <c r="H131">
        <v>3</v>
      </c>
      <c r="I131">
        <v>90</v>
      </c>
      <c r="J131">
        <v>128</v>
      </c>
      <c r="K131">
        <v>160</v>
      </c>
      <c r="L131">
        <v>-35</v>
      </c>
      <c r="M131" t="s">
        <v>16</v>
      </c>
      <c r="O131">
        <v>0.475</v>
      </c>
      <c r="P131">
        <v>0.521</v>
      </c>
      <c r="Q131">
        <v>21.27</v>
      </c>
      <c r="R131">
        <v>2.67</v>
      </c>
      <c r="S131">
        <v>594.4</v>
      </c>
    </row>
    <row r="132" spans="2:19">
      <c r="B132" s="6">
        <v>124</v>
      </c>
      <c r="C132">
        <v>9</v>
      </c>
      <c r="D132" t="s">
        <v>4</v>
      </c>
      <c r="E132">
        <v>0</v>
      </c>
      <c r="F132">
        <v>0</v>
      </c>
      <c r="G132">
        <v>0</v>
      </c>
      <c r="H132">
        <v>3</v>
      </c>
      <c r="I132">
        <v>90</v>
      </c>
      <c r="J132">
        <v>128</v>
      </c>
      <c r="K132">
        <v>160</v>
      </c>
      <c r="L132">
        <v>27</v>
      </c>
      <c r="M132" t="s">
        <v>16</v>
      </c>
      <c r="O132">
        <v>1.006</v>
      </c>
      <c r="P132">
        <v>1.245</v>
      </c>
      <c r="Q132">
        <v>36.8</v>
      </c>
      <c r="R132">
        <v>2.626</v>
      </c>
      <c r="S132">
        <v>144.9</v>
      </c>
    </row>
    <row r="133" spans="2:19">
      <c r="B133" s="6">
        <v>125</v>
      </c>
      <c r="C133">
        <v>9</v>
      </c>
      <c r="D133" t="s">
        <v>5</v>
      </c>
      <c r="E133">
        <v>0</v>
      </c>
      <c r="F133">
        <v>0</v>
      </c>
      <c r="G133">
        <v>0</v>
      </c>
      <c r="H133">
        <v>3</v>
      </c>
      <c r="I133">
        <v>90</v>
      </c>
      <c r="J133">
        <v>128</v>
      </c>
      <c r="K133">
        <v>160</v>
      </c>
      <c r="L133">
        <v>90</v>
      </c>
      <c r="M133" t="s">
        <v>16</v>
      </c>
      <c r="O133">
        <v>1.238</v>
      </c>
      <c r="P133">
        <v>1.547</v>
      </c>
      <c r="Q133">
        <v>15.85</v>
      </c>
      <c r="R133">
        <v>1.94</v>
      </c>
      <c r="S133">
        <v>114.2</v>
      </c>
    </row>
    <row r="134" spans="2:19">
      <c r="B134" s="6">
        <v>126</v>
      </c>
      <c r="C134">
        <v>9</v>
      </c>
      <c r="D134" t="s">
        <v>6</v>
      </c>
      <c r="E134">
        <v>0</v>
      </c>
      <c r="F134">
        <v>0</v>
      </c>
      <c r="G134">
        <v>0</v>
      </c>
      <c r="H134">
        <v>3</v>
      </c>
      <c r="I134">
        <v>90</v>
      </c>
      <c r="J134">
        <v>128</v>
      </c>
      <c r="K134">
        <v>160</v>
      </c>
      <c r="L134">
        <v>-35</v>
      </c>
      <c r="M134" t="s">
        <v>17</v>
      </c>
      <c r="O134">
        <v>0.488</v>
      </c>
      <c r="P134">
        <v>0.54</v>
      </c>
      <c r="Q134">
        <v>25.37</v>
      </c>
      <c r="R134">
        <v>3.148</v>
      </c>
      <c r="S134">
        <v>67.77</v>
      </c>
    </row>
    <row r="135" spans="2:19">
      <c r="B135" s="6">
        <v>127</v>
      </c>
      <c r="C135">
        <v>9</v>
      </c>
      <c r="D135" t="s">
        <v>7</v>
      </c>
      <c r="E135">
        <v>0</v>
      </c>
      <c r="F135">
        <v>0</v>
      </c>
      <c r="G135">
        <v>0</v>
      </c>
      <c r="H135">
        <v>3</v>
      </c>
      <c r="I135">
        <v>90</v>
      </c>
      <c r="J135">
        <v>128</v>
      </c>
      <c r="K135">
        <v>160</v>
      </c>
      <c r="L135">
        <v>27</v>
      </c>
      <c r="M135" t="s">
        <v>17</v>
      </c>
      <c r="O135">
        <v>1.006</v>
      </c>
      <c r="P135">
        <v>1.249</v>
      </c>
      <c r="Q135">
        <v>37.27</v>
      </c>
      <c r="R135">
        <v>2.825</v>
      </c>
      <c r="S135">
        <v>56.08</v>
      </c>
    </row>
    <row r="136" spans="2:19">
      <c r="B136" s="6">
        <v>128</v>
      </c>
      <c r="C136">
        <v>9</v>
      </c>
      <c r="D136" t="s">
        <v>8</v>
      </c>
      <c r="E136">
        <v>0</v>
      </c>
      <c r="F136">
        <v>0</v>
      </c>
      <c r="G136">
        <v>0</v>
      </c>
      <c r="H136">
        <v>3</v>
      </c>
      <c r="I136">
        <v>90</v>
      </c>
      <c r="J136">
        <v>128</v>
      </c>
      <c r="K136">
        <v>160</v>
      </c>
      <c r="L136">
        <v>90</v>
      </c>
      <c r="M136" t="s">
        <v>17</v>
      </c>
      <c r="O136">
        <v>1.237</v>
      </c>
      <c r="P136">
        <v>1.545</v>
      </c>
      <c r="Q136">
        <v>14.6</v>
      </c>
      <c r="R136">
        <v>2.395</v>
      </c>
      <c r="S136">
        <v>55.9</v>
      </c>
    </row>
    <row r="137" spans="2:19">
      <c r="B137" s="6">
        <v>129</v>
      </c>
      <c r="C137">
        <v>9</v>
      </c>
      <c r="D137" t="s">
        <v>9</v>
      </c>
      <c r="E137">
        <v>3</v>
      </c>
      <c r="F137">
        <v>3</v>
      </c>
      <c r="G137">
        <v>3</v>
      </c>
      <c r="H137">
        <v>3</v>
      </c>
      <c r="I137">
        <v>90</v>
      </c>
      <c r="J137">
        <v>128</v>
      </c>
      <c r="K137">
        <v>160</v>
      </c>
      <c r="L137">
        <v>-35</v>
      </c>
      <c r="M137" t="s">
        <v>18</v>
      </c>
      <c r="O137">
        <v>0.494</v>
      </c>
      <c r="P137">
        <v>0.54</v>
      </c>
      <c r="Q137">
        <v>19.91</v>
      </c>
      <c r="R137">
        <v>3.227</v>
      </c>
      <c r="S137">
        <v>359.7</v>
      </c>
    </row>
    <row r="138" spans="2:19">
      <c r="B138" s="6">
        <v>130</v>
      </c>
      <c r="C138">
        <v>9</v>
      </c>
      <c r="D138" t="s">
        <v>10</v>
      </c>
      <c r="E138">
        <v>3</v>
      </c>
      <c r="F138">
        <v>3</v>
      </c>
      <c r="G138">
        <v>3</v>
      </c>
      <c r="H138">
        <v>3</v>
      </c>
      <c r="I138">
        <v>90</v>
      </c>
      <c r="J138">
        <v>128</v>
      </c>
      <c r="K138">
        <v>160</v>
      </c>
      <c r="L138">
        <v>27</v>
      </c>
      <c r="M138" t="s">
        <v>18</v>
      </c>
      <c r="O138">
        <v>1.041</v>
      </c>
      <c r="P138">
        <v>1.289</v>
      </c>
      <c r="Q138">
        <v>33.37</v>
      </c>
      <c r="R138">
        <v>3.088</v>
      </c>
      <c r="S138">
        <v>119</v>
      </c>
    </row>
    <row r="139" spans="2:19">
      <c r="B139" s="6">
        <v>131</v>
      </c>
      <c r="C139">
        <v>9</v>
      </c>
      <c r="D139" t="s">
        <v>11</v>
      </c>
      <c r="E139">
        <v>3</v>
      </c>
      <c r="F139">
        <v>3</v>
      </c>
      <c r="G139">
        <v>3</v>
      </c>
      <c r="H139">
        <v>3</v>
      </c>
      <c r="I139">
        <v>90</v>
      </c>
      <c r="J139">
        <v>128</v>
      </c>
      <c r="K139">
        <v>160</v>
      </c>
      <c r="L139">
        <v>90</v>
      </c>
      <c r="M139" t="s">
        <v>18</v>
      </c>
      <c r="O139">
        <v>1.26</v>
      </c>
      <c r="P139">
        <v>1.574</v>
      </c>
      <c r="Q139">
        <v>14.26</v>
      </c>
      <c r="R139">
        <v>2.344</v>
      </c>
      <c r="S139">
        <v>97.83</v>
      </c>
    </row>
    <row r="140" spans="2:19">
      <c r="B140" s="6">
        <v>132</v>
      </c>
      <c r="C140">
        <v>9</v>
      </c>
      <c r="D140" t="s">
        <v>12</v>
      </c>
      <c r="E140">
        <v>0</v>
      </c>
      <c r="F140">
        <v>0</v>
      </c>
      <c r="G140">
        <v>0</v>
      </c>
      <c r="H140">
        <v>3</v>
      </c>
      <c r="I140">
        <v>90</v>
      </c>
      <c r="J140">
        <v>128</v>
      </c>
      <c r="K140">
        <v>160</v>
      </c>
      <c r="L140">
        <v>-35</v>
      </c>
      <c r="M140" t="s">
        <v>19</v>
      </c>
      <c r="O140">
        <v>0.483</v>
      </c>
      <c r="P140">
        <v>0.533</v>
      </c>
      <c r="Q140">
        <v>22.57</v>
      </c>
      <c r="R140">
        <v>2.88</v>
      </c>
      <c r="S140">
        <v>183.7</v>
      </c>
    </row>
    <row r="141" spans="2:19">
      <c r="B141" s="6">
        <v>133</v>
      </c>
      <c r="C141">
        <v>9</v>
      </c>
      <c r="D141" t="s">
        <v>13</v>
      </c>
      <c r="E141">
        <v>0</v>
      </c>
      <c r="F141">
        <v>0</v>
      </c>
      <c r="G141">
        <v>0</v>
      </c>
      <c r="H141">
        <v>3</v>
      </c>
      <c r="I141">
        <v>90</v>
      </c>
      <c r="J141">
        <v>128</v>
      </c>
      <c r="K141">
        <v>160</v>
      </c>
      <c r="L141">
        <v>27</v>
      </c>
      <c r="M141" t="s">
        <v>19</v>
      </c>
      <c r="O141">
        <v>1.006</v>
      </c>
      <c r="P141">
        <v>1.248</v>
      </c>
      <c r="Q141">
        <v>37.61</v>
      </c>
      <c r="R141">
        <v>2.679</v>
      </c>
      <c r="S141">
        <v>90.39</v>
      </c>
    </row>
    <row r="142" spans="2:19">
      <c r="B142" s="6">
        <v>134</v>
      </c>
      <c r="C142">
        <v>9</v>
      </c>
      <c r="D142" t="s">
        <v>14</v>
      </c>
      <c r="E142">
        <v>0</v>
      </c>
      <c r="F142">
        <v>0</v>
      </c>
      <c r="G142">
        <v>0</v>
      </c>
      <c r="H142">
        <v>3</v>
      </c>
      <c r="I142">
        <v>90</v>
      </c>
      <c r="J142">
        <v>128</v>
      </c>
      <c r="K142">
        <v>160</v>
      </c>
      <c r="L142">
        <v>90</v>
      </c>
      <c r="M142" t="s">
        <v>19</v>
      </c>
      <c r="O142">
        <v>1.237</v>
      </c>
      <c r="P142">
        <v>1.546</v>
      </c>
      <c r="Q142">
        <v>14.2</v>
      </c>
      <c r="R142">
        <v>2.143</v>
      </c>
      <c r="S142">
        <v>86.38</v>
      </c>
    </row>
    <row r="143" spans="2:19">
      <c r="B143" s="6">
        <v>135</v>
      </c>
      <c r="C143">
        <v>10</v>
      </c>
      <c r="D143" t="s">
        <v>0</v>
      </c>
      <c r="E143">
        <v>-3</v>
      </c>
      <c r="F143">
        <v>-3</v>
      </c>
      <c r="G143">
        <v>-3</v>
      </c>
      <c r="H143">
        <v>3.3</v>
      </c>
      <c r="I143">
        <v>90</v>
      </c>
      <c r="J143">
        <v>255</v>
      </c>
      <c r="K143">
        <v>128</v>
      </c>
      <c r="L143">
        <v>-35</v>
      </c>
      <c r="M143" t="s">
        <v>15</v>
      </c>
      <c r="O143">
        <v>1.609</v>
      </c>
      <c r="P143">
        <v>0.8149999999999999</v>
      </c>
      <c r="Q143">
        <v>51.44</v>
      </c>
      <c r="R143">
        <v>2.79</v>
      </c>
      <c r="S143">
        <v>9.119</v>
      </c>
    </row>
    <row r="144" spans="2:19">
      <c r="B144" s="6">
        <v>136</v>
      </c>
      <c r="C144">
        <v>10</v>
      </c>
      <c r="D144" t="s">
        <v>1</v>
      </c>
      <c r="E144">
        <v>-3</v>
      </c>
      <c r="F144">
        <v>-3</v>
      </c>
      <c r="G144">
        <v>-3</v>
      </c>
      <c r="H144">
        <v>3.3</v>
      </c>
      <c r="I144">
        <v>90</v>
      </c>
      <c r="J144">
        <v>255</v>
      </c>
      <c r="K144">
        <v>128</v>
      </c>
      <c r="L144">
        <v>27</v>
      </c>
      <c r="M144" t="s">
        <v>15</v>
      </c>
      <c r="O144">
        <v>1.954</v>
      </c>
      <c r="P144">
        <v>0.982</v>
      </c>
      <c r="Q144">
        <v>42.52</v>
      </c>
      <c r="R144">
        <v>2.403</v>
      </c>
      <c r="S144">
        <v>8.752000000000001</v>
      </c>
    </row>
    <row r="145" spans="2:19">
      <c r="B145" s="6">
        <v>137</v>
      </c>
      <c r="C145">
        <v>10</v>
      </c>
      <c r="D145" t="s">
        <v>2</v>
      </c>
      <c r="E145">
        <v>-3</v>
      </c>
      <c r="F145">
        <v>-3</v>
      </c>
      <c r="G145">
        <v>-3</v>
      </c>
      <c r="H145">
        <v>3.3</v>
      </c>
      <c r="I145">
        <v>90</v>
      </c>
      <c r="J145">
        <v>255</v>
      </c>
      <c r="K145">
        <v>128</v>
      </c>
      <c r="L145">
        <v>90</v>
      </c>
      <c r="M145" t="s">
        <v>15</v>
      </c>
      <c r="O145">
        <v>2.392</v>
      </c>
      <c r="P145">
        <v>1.201</v>
      </c>
      <c r="Q145">
        <v>18.53</v>
      </c>
      <c r="R145">
        <v>2.003</v>
      </c>
      <c r="S145">
        <v>9.317</v>
      </c>
    </row>
    <row r="146" spans="2:19">
      <c r="B146" s="6">
        <v>138</v>
      </c>
      <c r="C146">
        <v>10</v>
      </c>
      <c r="D146" t="s">
        <v>3</v>
      </c>
      <c r="E146">
        <v>0</v>
      </c>
      <c r="F146">
        <v>0</v>
      </c>
      <c r="G146">
        <v>0</v>
      </c>
      <c r="H146">
        <v>3.3</v>
      </c>
      <c r="I146">
        <v>90</v>
      </c>
      <c r="J146">
        <v>255</v>
      </c>
      <c r="K146">
        <v>128</v>
      </c>
      <c r="L146">
        <v>-35</v>
      </c>
      <c r="M146" t="s">
        <v>16</v>
      </c>
      <c r="O146">
        <v>1.662</v>
      </c>
      <c r="P146">
        <v>0.845</v>
      </c>
      <c r="Q146">
        <v>51.31</v>
      </c>
      <c r="R146">
        <v>2.741</v>
      </c>
      <c r="S146">
        <v>17.41</v>
      </c>
    </row>
    <row r="147" spans="2:19">
      <c r="B147" s="6">
        <v>139</v>
      </c>
      <c r="C147">
        <v>10</v>
      </c>
      <c r="D147" t="s">
        <v>4</v>
      </c>
      <c r="E147">
        <v>0</v>
      </c>
      <c r="F147">
        <v>0</v>
      </c>
      <c r="G147">
        <v>0</v>
      </c>
      <c r="H147">
        <v>3.3</v>
      </c>
      <c r="I147">
        <v>90</v>
      </c>
      <c r="J147">
        <v>255</v>
      </c>
      <c r="K147">
        <v>128</v>
      </c>
      <c r="L147">
        <v>27</v>
      </c>
      <c r="M147" t="s">
        <v>16</v>
      </c>
      <c r="O147">
        <v>2.026</v>
      </c>
      <c r="P147">
        <v>1.018</v>
      </c>
      <c r="Q147">
        <v>37.89</v>
      </c>
      <c r="R147">
        <v>2.629</v>
      </c>
      <c r="S147">
        <v>14.85</v>
      </c>
    </row>
    <row r="148" spans="2:19">
      <c r="B148" s="6">
        <v>140</v>
      </c>
      <c r="C148">
        <v>10</v>
      </c>
      <c r="D148" t="s">
        <v>5</v>
      </c>
      <c r="E148">
        <v>0</v>
      </c>
      <c r="F148">
        <v>0</v>
      </c>
      <c r="G148">
        <v>0</v>
      </c>
      <c r="H148">
        <v>3.3</v>
      </c>
      <c r="I148">
        <v>90</v>
      </c>
      <c r="J148">
        <v>255</v>
      </c>
      <c r="K148">
        <v>128</v>
      </c>
      <c r="L148">
        <v>90</v>
      </c>
      <c r="M148" t="s">
        <v>16</v>
      </c>
      <c r="O148">
        <v>2.467</v>
      </c>
      <c r="P148">
        <v>1.239</v>
      </c>
      <c r="Q148">
        <v>15.57</v>
      </c>
      <c r="R148">
        <v>1.947</v>
      </c>
      <c r="S148">
        <v>14.31</v>
      </c>
    </row>
    <row r="149" spans="2:19">
      <c r="B149" s="6">
        <v>141</v>
      </c>
      <c r="C149">
        <v>10</v>
      </c>
      <c r="D149" t="s">
        <v>6</v>
      </c>
      <c r="E149">
        <v>0</v>
      </c>
      <c r="F149">
        <v>0</v>
      </c>
      <c r="G149">
        <v>0</v>
      </c>
      <c r="H149">
        <v>3.3</v>
      </c>
      <c r="I149">
        <v>90</v>
      </c>
      <c r="J149">
        <v>255</v>
      </c>
      <c r="K149">
        <v>128</v>
      </c>
      <c r="L149">
        <v>-35</v>
      </c>
      <c r="M149" t="s">
        <v>17</v>
      </c>
      <c r="O149">
        <v>1.666</v>
      </c>
      <c r="P149">
        <v>0.844</v>
      </c>
      <c r="Q149">
        <v>56.65</v>
      </c>
      <c r="R149">
        <v>3.166</v>
      </c>
      <c r="S149">
        <v>10.82</v>
      </c>
    </row>
    <row r="150" spans="2:19">
      <c r="B150" s="6">
        <v>142</v>
      </c>
      <c r="C150">
        <v>10</v>
      </c>
      <c r="D150" t="s">
        <v>7</v>
      </c>
      <c r="E150">
        <v>0</v>
      </c>
      <c r="F150">
        <v>0</v>
      </c>
      <c r="G150">
        <v>0</v>
      </c>
      <c r="H150">
        <v>3.3</v>
      </c>
      <c r="I150">
        <v>90</v>
      </c>
      <c r="J150">
        <v>255</v>
      </c>
      <c r="K150">
        <v>128</v>
      </c>
      <c r="L150">
        <v>27</v>
      </c>
      <c r="M150" t="s">
        <v>17</v>
      </c>
      <c r="O150">
        <v>2.024</v>
      </c>
      <c r="P150">
        <v>1.017</v>
      </c>
      <c r="Q150">
        <v>38.26</v>
      </c>
      <c r="R150">
        <v>2.826</v>
      </c>
      <c r="S150">
        <v>9.797000000000001</v>
      </c>
    </row>
    <row r="151" spans="2:19">
      <c r="B151" s="6">
        <v>143</v>
      </c>
      <c r="C151">
        <v>10</v>
      </c>
      <c r="D151" t="s">
        <v>8</v>
      </c>
      <c r="E151">
        <v>0</v>
      </c>
      <c r="F151">
        <v>0</v>
      </c>
      <c r="G151">
        <v>0</v>
      </c>
      <c r="H151">
        <v>3.3</v>
      </c>
      <c r="I151">
        <v>90</v>
      </c>
      <c r="J151">
        <v>255</v>
      </c>
      <c r="K151">
        <v>128</v>
      </c>
      <c r="L151">
        <v>90</v>
      </c>
      <c r="M151" t="s">
        <v>17</v>
      </c>
      <c r="O151">
        <v>2.464</v>
      </c>
      <c r="P151">
        <v>1.237</v>
      </c>
      <c r="Q151">
        <v>14.63</v>
      </c>
      <c r="R151">
        <v>2.399</v>
      </c>
      <c r="S151">
        <v>10.43</v>
      </c>
    </row>
    <row r="152" spans="2:19">
      <c r="B152" s="6">
        <v>144</v>
      </c>
      <c r="C152">
        <v>10</v>
      </c>
      <c r="D152" t="s">
        <v>9</v>
      </c>
      <c r="E152">
        <v>3</v>
      </c>
      <c r="F152">
        <v>3</v>
      </c>
      <c r="G152">
        <v>3</v>
      </c>
      <c r="H152">
        <v>3.3</v>
      </c>
      <c r="I152">
        <v>90</v>
      </c>
      <c r="J152">
        <v>255</v>
      </c>
      <c r="K152">
        <v>128</v>
      </c>
      <c r="L152">
        <v>-35</v>
      </c>
      <c r="M152" t="s">
        <v>18</v>
      </c>
      <c r="O152">
        <v>1.712</v>
      </c>
      <c r="P152">
        <v>0.871</v>
      </c>
      <c r="Q152">
        <v>47.37</v>
      </c>
      <c r="R152">
        <v>3.289</v>
      </c>
      <c r="S152">
        <v>18.61</v>
      </c>
    </row>
    <row r="153" spans="2:19">
      <c r="B153" s="6">
        <v>145</v>
      </c>
      <c r="C153">
        <v>10</v>
      </c>
      <c r="D153" t="s">
        <v>10</v>
      </c>
      <c r="E153">
        <v>3</v>
      </c>
      <c r="F153">
        <v>3</v>
      </c>
      <c r="G153">
        <v>3</v>
      </c>
      <c r="H153">
        <v>3.3</v>
      </c>
      <c r="I153">
        <v>90</v>
      </c>
      <c r="J153">
        <v>255</v>
      </c>
      <c r="K153">
        <v>128</v>
      </c>
      <c r="L153">
        <v>27</v>
      </c>
      <c r="M153" t="s">
        <v>18</v>
      </c>
      <c r="O153">
        <v>2.096</v>
      </c>
      <c r="P153">
        <v>1.053</v>
      </c>
      <c r="Q153">
        <v>34.27</v>
      </c>
      <c r="R153">
        <v>3.093</v>
      </c>
      <c r="S153">
        <v>16.04</v>
      </c>
    </row>
    <row r="154" spans="2:19">
      <c r="B154" s="6">
        <v>146</v>
      </c>
      <c r="C154">
        <v>10</v>
      </c>
      <c r="D154" t="s">
        <v>11</v>
      </c>
      <c r="E154">
        <v>3</v>
      </c>
      <c r="F154">
        <v>3</v>
      </c>
      <c r="G154">
        <v>3</v>
      </c>
      <c r="H154">
        <v>3.3</v>
      </c>
      <c r="I154">
        <v>90</v>
      </c>
      <c r="J154">
        <v>255</v>
      </c>
      <c r="K154">
        <v>128</v>
      </c>
      <c r="L154">
        <v>90</v>
      </c>
      <c r="M154" t="s">
        <v>18</v>
      </c>
      <c r="O154">
        <v>2.51</v>
      </c>
      <c r="P154">
        <v>1.26</v>
      </c>
      <c r="Q154">
        <v>14.21</v>
      </c>
      <c r="R154">
        <v>2.348</v>
      </c>
      <c r="S154">
        <v>15.4</v>
      </c>
    </row>
    <row r="155" spans="2:19">
      <c r="B155" s="6">
        <v>147</v>
      </c>
      <c r="C155">
        <v>10</v>
      </c>
      <c r="D155" t="s">
        <v>12</v>
      </c>
      <c r="E155">
        <v>0</v>
      </c>
      <c r="F155">
        <v>0</v>
      </c>
      <c r="G155">
        <v>0</v>
      </c>
      <c r="H155">
        <v>3.3</v>
      </c>
      <c r="I155">
        <v>90</v>
      </c>
      <c r="J155">
        <v>255</v>
      </c>
      <c r="K155">
        <v>128</v>
      </c>
      <c r="L155">
        <v>-35</v>
      </c>
      <c r="M155" t="s">
        <v>19</v>
      </c>
      <c r="O155">
        <v>1.665</v>
      </c>
      <c r="P155">
        <v>0.844</v>
      </c>
      <c r="Q155">
        <v>52.75</v>
      </c>
      <c r="R155">
        <v>2.953</v>
      </c>
      <c r="S155">
        <v>12.18</v>
      </c>
    </row>
    <row r="156" spans="2:19">
      <c r="B156" s="6">
        <v>148</v>
      </c>
      <c r="C156">
        <v>10</v>
      </c>
      <c r="D156" t="s">
        <v>13</v>
      </c>
      <c r="E156">
        <v>0</v>
      </c>
      <c r="F156">
        <v>0</v>
      </c>
      <c r="G156">
        <v>0</v>
      </c>
      <c r="H156">
        <v>3.3</v>
      </c>
      <c r="I156">
        <v>90</v>
      </c>
      <c r="J156">
        <v>255</v>
      </c>
      <c r="K156">
        <v>128</v>
      </c>
      <c r="L156">
        <v>27</v>
      </c>
      <c r="M156" t="s">
        <v>19</v>
      </c>
      <c r="O156">
        <v>2.024</v>
      </c>
      <c r="P156">
        <v>1.017</v>
      </c>
      <c r="Q156">
        <v>38.57</v>
      </c>
      <c r="R156">
        <v>2.681</v>
      </c>
      <c r="S156">
        <v>11.26</v>
      </c>
    </row>
    <row r="157" spans="2:19">
      <c r="B157" s="6">
        <v>149</v>
      </c>
      <c r="C157">
        <v>10</v>
      </c>
      <c r="D157" t="s">
        <v>14</v>
      </c>
      <c r="E157">
        <v>0</v>
      </c>
      <c r="F157">
        <v>0</v>
      </c>
      <c r="G157">
        <v>0</v>
      </c>
      <c r="H157">
        <v>3.3</v>
      </c>
      <c r="I157">
        <v>90</v>
      </c>
      <c r="J157">
        <v>255</v>
      </c>
      <c r="K157">
        <v>128</v>
      </c>
      <c r="L157">
        <v>90</v>
      </c>
      <c r="M157" t="s">
        <v>19</v>
      </c>
      <c r="O157">
        <v>2.465</v>
      </c>
      <c r="P157">
        <v>1.238</v>
      </c>
      <c r="Q157">
        <v>14.2</v>
      </c>
      <c r="R157">
        <v>2.152</v>
      </c>
      <c r="S157">
        <v>11.46</v>
      </c>
    </row>
    <row r="158" spans="2:19">
      <c r="B158" s="6">
        <v>150</v>
      </c>
      <c r="C158">
        <v>11</v>
      </c>
      <c r="D158" t="s">
        <v>0</v>
      </c>
      <c r="E158">
        <v>-3</v>
      </c>
      <c r="F158">
        <v>-3</v>
      </c>
      <c r="G158">
        <v>-3</v>
      </c>
      <c r="H158">
        <v>3.3</v>
      </c>
      <c r="I158">
        <v>90</v>
      </c>
      <c r="J158">
        <v>128</v>
      </c>
      <c r="K158">
        <v>255</v>
      </c>
      <c r="L158">
        <v>-35</v>
      </c>
      <c r="M158" t="s">
        <v>15</v>
      </c>
      <c r="O158">
        <v>0.8149999999999999</v>
      </c>
      <c r="P158">
        <v>1.609</v>
      </c>
      <c r="Q158">
        <v>61.18</v>
      </c>
      <c r="R158">
        <v>2.789</v>
      </c>
      <c r="S158">
        <v>117.1</v>
      </c>
    </row>
    <row r="159" spans="2:19">
      <c r="B159" s="6">
        <v>151</v>
      </c>
      <c r="C159">
        <v>11</v>
      </c>
      <c r="D159" t="s">
        <v>1</v>
      </c>
      <c r="E159">
        <v>-3</v>
      </c>
      <c r="F159">
        <v>-3</v>
      </c>
      <c r="G159">
        <v>-3</v>
      </c>
      <c r="H159">
        <v>3.3</v>
      </c>
      <c r="I159">
        <v>90</v>
      </c>
      <c r="J159">
        <v>128</v>
      </c>
      <c r="K159">
        <v>255</v>
      </c>
      <c r="L159">
        <v>27</v>
      </c>
      <c r="M159" t="s">
        <v>15</v>
      </c>
      <c r="O159">
        <v>0.982</v>
      </c>
      <c r="P159">
        <v>1.954</v>
      </c>
      <c r="Q159">
        <v>42.73</v>
      </c>
      <c r="R159">
        <v>2.401</v>
      </c>
      <c r="S159">
        <v>115</v>
      </c>
    </row>
    <row r="160" spans="2:19">
      <c r="B160" s="6">
        <v>152</v>
      </c>
      <c r="C160">
        <v>11</v>
      </c>
      <c r="D160" t="s">
        <v>2</v>
      </c>
      <c r="E160">
        <v>-3</v>
      </c>
      <c r="F160">
        <v>-3</v>
      </c>
      <c r="G160">
        <v>-3</v>
      </c>
      <c r="H160">
        <v>3.3</v>
      </c>
      <c r="I160">
        <v>90</v>
      </c>
      <c r="J160">
        <v>128</v>
      </c>
      <c r="K160">
        <v>255</v>
      </c>
      <c r="L160">
        <v>90</v>
      </c>
      <c r="M160" t="s">
        <v>15</v>
      </c>
      <c r="O160">
        <v>1.201</v>
      </c>
      <c r="P160">
        <v>2.392</v>
      </c>
      <c r="Q160">
        <v>18.52</v>
      </c>
      <c r="R160">
        <v>2</v>
      </c>
      <c r="S160">
        <v>115.4</v>
      </c>
    </row>
    <row r="161" spans="2:19">
      <c r="B161" s="6">
        <v>153</v>
      </c>
      <c r="C161">
        <v>11</v>
      </c>
      <c r="D161" t="s">
        <v>3</v>
      </c>
      <c r="E161">
        <v>0</v>
      </c>
      <c r="F161">
        <v>0</v>
      </c>
      <c r="G161">
        <v>0</v>
      </c>
      <c r="H161">
        <v>3.3</v>
      </c>
      <c r="I161">
        <v>90</v>
      </c>
      <c r="J161">
        <v>128</v>
      </c>
      <c r="K161">
        <v>255</v>
      </c>
      <c r="L161">
        <v>-35</v>
      </c>
      <c r="M161" t="s">
        <v>16</v>
      </c>
      <c r="O161">
        <v>0.845</v>
      </c>
      <c r="P161">
        <v>1.662</v>
      </c>
      <c r="Q161">
        <v>65.78</v>
      </c>
      <c r="R161">
        <v>2.737</v>
      </c>
      <c r="S161">
        <v>181.6</v>
      </c>
    </row>
    <row r="162" spans="2:19">
      <c r="B162" s="6">
        <v>154</v>
      </c>
      <c r="C162">
        <v>11</v>
      </c>
      <c r="D162" t="s">
        <v>4</v>
      </c>
      <c r="E162">
        <v>0</v>
      </c>
      <c r="F162">
        <v>0</v>
      </c>
      <c r="G162">
        <v>0</v>
      </c>
      <c r="H162">
        <v>3.3</v>
      </c>
      <c r="I162">
        <v>90</v>
      </c>
      <c r="J162">
        <v>128</v>
      </c>
      <c r="K162">
        <v>255</v>
      </c>
      <c r="L162">
        <v>27</v>
      </c>
      <c r="M162" t="s">
        <v>16</v>
      </c>
      <c r="O162">
        <v>1.018</v>
      </c>
      <c r="P162">
        <v>2.026</v>
      </c>
      <c r="Q162">
        <v>38.21</v>
      </c>
      <c r="R162">
        <v>2.627</v>
      </c>
      <c r="S162">
        <v>164</v>
      </c>
    </row>
    <row r="163" spans="2:19">
      <c r="B163" s="6">
        <v>155</v>
      </c>
      <c r="C163">
        <v>11</v>
      </c>
      <c r="D163" t="s">
        <v>5</v>
      </c>
      <c r="E163">
        <v>0</v>
      </c>
      <c r="F163">
        <v>0</v>
      </c>
      <c r="G163">
        <v>0</v>
      </c>
      <c r="H163">
        <v>3.3</v>
      </c>
      <c r="I163">
        <v>90</v>
      </c>
      <c r="J163">
        <v>128</v>
      </c>
      <c r="K163">
        <v>255</v>
      </c>
      <c r="L163">
        <v>90</v>
      </c>
      <c r="M163" t="s">
        <v>16</v>
      </c>
      <c r="O163">
        <v>1.239</v>
      </c>
      <c r="P163">
        <v>2.467</v>
      </c>
      <c r="Q163">
        <v>15.59</v>
      </c>
      <c r="R163">
        <v>1.942</v>
      </c>
      <c r="S163">
        <v>161.1</v>
      </c>
    </row>
    <row r="164" spans="2:19">
      <c r="B164" s="6">
        <v>156</v>
      </c>
      <c r="C164">
        <v>11</v>
      </c>
      <c r="D164" t="s">
        <v>6</v>
      </c>
      <c r="E164">
        <v>0</v>
      </c>
      <c r="F164">
        <v>0</v>
      </c>
      <c r="G164">
        <v>0</v>
      </c>
      <c r="H164">
        <v>3.3</v>
      </c>
      <c r="I164">
        <v>90</v>
      </c>
      <c r="J164">
        <v>128</v>
      </c>
      <c r="K164">
        <v>255</v>
      </c>
      <c r="L164">
        <v>-35</v>
      </c>
      <c r="M164" t="s">
        <v>17</v>
      </c>
      <c r="O164">
        <v>0.844</v>
      </c>
      <c r="P164">
        <v>1.666</v>
      </c>
      <c r="Q164">
        <v>71.18000000000001</v>
      </c>
      <c r="R164">
        <v>3.162</v>
      </c>
      <c r="S164">
        <v>134.6</v>
      </c>
    </row>
    <row r="165" spans="2:19">
      <c r="B165" s="6">
        <v>157</v>
      </c>
      <c r="C165">
        <v>11</v>
      </c>
      <c r="D165" t="s">
        <v>7</v>
      </c>
      <c r="E165">
        <v>0</v>
      </c>
      <c r="F165">
        <v>0</v>
      </c>
      <c r="G165">
        <v>0</v>
      </c>
      <c r="H165">
        <v>3.3</v>
      </c>
      <c r="I165">
        <v>90</v>
      </c>
      <c r="J165">
        <v>128</v>
      </c>
      <c r="K165">
        <v>255</v>
      </c>
      <c r="L165">
        <v>27</v>
      </c>
      <c r="M165" t="s">
        <v>17</v>
      </c>
      <c r="O165">
        <v>1.017</v>
      </c>
      <c r="P165">
        <v>2.024</v>
      </c>
      <c r="Q165">
        <v>38.52</v>
      </c>
      <c r="R165">
        <v>2.822</v>
      </c>
      <c r="S165">
        <v>128.3</v>
      </c>
    </row>
    <row r="166" spans="2:19">
      <c r="B166" s="6">
        <v>158</v>
      </c>
      <c r="C166">
        <v>11</v>
      </c>
      <c r="D166" t="s">
        <v>8</v>
      </c>
      <c r="E166">
        <v>0</v>
      </c>
      <c r="F166">
        <v>0</v>
      </c>
      <c r="G166">
        <v>0</v>
      </c>
      <c r="H166">
        <v>3.3</v>
      </c>
      <c r="I166">
        <v>90</v>
      </c>
      <c r="J166">
        <v>128</v>
      </c>
      <c r="K166">
        <v>255</v>
      </c>
      <c r="L166">
        <v>90</v>
      </c>
      <c r="M166" t="s">
        <v>17</v>
      </c>
      <c r="O166">
        <v>1.237</v>
      </c>
      <c r="P166">
        <v>2.464</v>
      </c>
      <c r="Q166">
        <v>14.68</v>
      </c>
      <c r="R166">
        <v>2.395</v>
      </c>
      <c r="S166">
        <v>96.81</v>
      </c>
    </row>
    <row r="167" spans="2:19">
      <c r="B167" s="6">
        <v>159</v>
      </c>
      <c r="C167">
        <v>11</v>
      </c>
      <c r="D167" t="s">
        <v>9</v>
      </c>
      <c r="E167">
        <v>3</v>
      </c>
      <c r="F167">
        <v>3</v>
      </c>
      <c r="G167">
        <v>3</v>
      </c>
      <c r="H167">
        <v>3.3</v>
      </c>
      <c r="I167">
        <v>90</v>
      </c>
      <c r="J167">
        <v>128</v>
      </c>
      <c r="K167">
        <v>255</v>
      </c>
      <c r="L167">
        <v>-35</v>
      </c>
      <c r="M167" t="s">
        <v>18</v>
      </c>
      <c r="O167">
        <v>0.871</v>
      </c>
      <c r="P167">
        <v>1.712</v>
      </c>
      <c r="Q167">
        <v>60.37</v>
      </c>
      <c r="R167">
        <v>3.289</v>
      </c>
      <c r="S167">
        <v>193.7</v>
      </c>
    </row>
    <row r="168" spans="2:19">
      <c r="B168" s="6">
        <v>160</v>
      </c>
      <c r="C168">
        <v>11</v>
      </c>
      <c r="D168" t="s">
        <v>10</v>
      </c>
      <c r="E168">
        <v>3</v>
      </c>
      <c r="F168">
        <v>3</v>
      </c>
      <c r="G168">
        <v>3</v>
      </c>
      <c r="H168">
        <v>3.3</v>
      </c>
      <c r="I168">
        <v>90</v>
      </c>
      <c r="J168">
        <v>128</v>
      </c>
      <c r="K168">
        <v>255</v>
      </c>
      <c r="L168">
        <v>27</v>
      </c>
      <c r="M168" t="s">
        <v>18</v>
      </c>
      <c r="O168">
        <v>1.053</v>
      </c>
      <c r="P168">
        <v>2.096</v>
      </c>
      <c r="Q168">
        <v>34.64</v>
      </c>
      <c r="R168">
        <v>3.09</v>
      </c>
      <c r="S168">
        <v>178.3</v>
      </c>
    </row>
    <row r="169" spans="2:19">
      <c r="B169" s="6">
        <v>161</v>
      </c>
      <c r="C169">
        <v>11</v>
      </c>
      <c r="D169" t="s">
        <v>11</v>
      </c>
      <c r="E169">
        <v>3</v>
      </c>
      <c r="F169">
        <v>3</v>
      </c>
      <c r="G169">
        <v>3</v>
      </c>
      <c r="H169">
        <v>3.3</v>
      </c>
      <c r="I169">
        <v>90</v>
      </c>
      <c r="J169">
        <v>128</v>
      </c>
      <c r="K169">
        <v>255</v>
      </c>
      <c r="L169">
        <v>90</v>
      </c>
      <c r="M169" t="s">
        <v>18</v>
      </c>
      <c r="O169">
        <v>1.26</v>
      </c>
      <c r="P169">
        <v>2.51</v>
      </c>
      <c r="Q169">
        <v>14.31</v>
      </c>
      <c r="R169">
        <v>2.342</v>
      </c>
      <c r="S169">
        <v>140.9</v>
      </c>
    </row>
    <row r="170" spans="2:19">
      <c r="B170" s="6">
        <v>162</v>
      </c>
      <c r="C170">
        <v>11</v>
      </c>
      <c r="D170" t="s">
        <v>12</v>
      </c>
      <c r="E170">
        <v>0</v>
      </c>
      <c r="F170">
        <v>0</v>
      </c>
      <c r="G170">
        <v>0</v>
      </c>
      <c r="H170">
        <v>3.3</v>
      </c>
      <c r="I170">
        <v>90</v>
      </c>
      <c r="J170">
        <v>128</v>
      </c>
      <c r="K170">
        <v>255</v>
      </c>
      <c r="L170">
        <v>-35</v>
      </c>
      <c r="M170" t="s">
        <v>19</v>
      </c>
      <c r="O170">
        <v>0.844</v>
      </c>
      <c r="P170">
        <v>1.665</v>
      </c>
      <c r="Q170">
        <v>64.62</v>
      </c>
      <c r="R170">
        <v>2.952</v>
      </c>
      <c r="S170">
        <v>148.6</v>
      </c>
    </row>
    <row r="171" spans="2:19">
      <c r="B171" s="6">
        <v>163</v>
      </c>
      <c r="C171">
        <v>11</v>
      </c>
      <c r="D171" t="s">
        <v>13</v>
      </c>
      <c r="E171">
        <v>0</v>
      </c>
      <c r="F171">
        <v>0</v>
      </c>
      <c r="G171">
        <v>0</v>
      </c>
      <c r="H171">
        <v>3.3</v>
      </c>
      <c r="I171">
        <v>90</v>
      </c>
      <c r="J171">
        <v>128</v>
      </c>
      <c r="K171">
        <v>255</v>
      </c>
      <c r="L171">
        <v>27</v>
      </c>
      <c r="M171" t="s">
        <v>19</v>
      </c>
      <c r="O171">
        <v>1.017</v>
      </c>
      <c r="P171">
        <v>2.024</v>
      </c>
      <c r="Q171">
        <v>38.8</v>
      </c>
      <c r="R171">
        <v>2.679</v>
      </c>
      <c r="S171">
        <v>143</v>
      </c>
    </row>
    <row r="172" spans="2:19">
      <c r="B172" s="6">
        <v>164</v>
      </c>
      <c r="C172">
        <v>11</v>
      </c>
      <c r="D172" t="s">
        <v>14</v>
      </c>
      <c r="E172">
        <v>0</v>
      </c>
      <c r="F172">
        <v>0</v>
      </c>
      <c r="G172">
        <v>0</v>
      </c>
      <c r="H172">
        <v>3.3</v>
      </c>
      <c r="I172">
        <v>90</v>
      </c>
      <c r="J172">
        <v>128</v>
      </c>
      <c r="K172">
        <v>255</v>
      </c>
      <c r="L172">
        <v>90</v>
      </c>
      <c r="M172" t="s">
        <v>19</v>
      </c>
      <c r="O172">
        <v>1.238</v>
      </c>
      <c r="P172">
        <v>2.465</v>
      </c>
      <c r="Q172">
        <v>14.27</v>
      </c>
      <c r="R172">
        <v>2.147</v>
      </c>
      <c r="S172">
        <v>140.6</v>
      </c>
    </row>
    <row r="173" spans="2:19">
      <c r="B173" s="6">
        <v>165</v>
      </c>
      <c r="C173">
        <v>12</v>
      </c>
      <c r="D173" t="s">
        <v>0</v>
      </c>
      <c r="E173">
        <v>-3</v>
      </c>
      <c r="F173">
        <v>-3</v>
      </c>
      <c r="G173">
        <v>-3</v>
      </c>
      <c r="H173">
        <v>3.3</v>
      </c>
      <c r="I173">
        <v>90</v>
      </c>
      <c r="J173">
        <v>128</v>
      </c>
      <c r="K173">
        <v>160</v>
      </c>
      <c r="L173">
        <v>-35</v>
      </c>
      <c r="M173" t="s">
        <v>15</v>
      </c>
      <c r="O173">
        <v>0.8149999999999999</v>
      </c>
      <c r="P173">
        <v>1.017</v>
      </c>
      <c r="Q173">
        <v>61.18</v>
      </c>
      <c r="R173">
        <v>2.789</v>
      </c>
      <c r="S173">
        <v>84.40000000000001</v>
      </c>
    </row>
    <row r="174" spans="2:19">
      <c r="B174" s="6">
        <v>166</v>
      </c>
      <c r="C174">
        <v>12</v>
      </c>
      <c r="D174" t="s">
        <v>1</v>
      </c>
      <c r="E174">
        <v>-3</v>
      </c>
      <c r="F174">
        <v>-3</v>
      </c>
      <c r="G174">
        <v>-3</v>
      </c>
      <c r="H174">
        <v>3.3</v>
      </c>
      <c r="I174">
        <v>90</v>
      </c>
      <c r="J174">
        <v>128</v>
      </c>
      <c r="K174">
        <v>160</v>
      </c>
      <c r="L174">
        <v>27</v>
      </c>
      <c r="M174" t="s">
        <v>15</v>
      </c>
      <c r="O174">
        <v>0.982</v>
      </c>
      <c r="P174">
        <v>1.227</v>
      </c>
      <c r="Q174">
        <v>42.73</v>
      </c>
      <c r="R174">
        <v>2.401</v>
      </c>
      <c r="S174">
        <v>65.20999999999999</v>
      </c>
    </row>
    <row r="175" spans="2:19">
      <c r="B175" s="6">
        <v>167</v>
      </c>
      <c r="C175">
        <v>12</v>
      </c>
      <c r="D175" t="s">
        <v>2</v>
      </c>
      <c r="E175">
        <v>-3</v>
      </c>
      <c r="F175">
        <v>-3</v>
      </c>
      <c r="G175">
        <v>-3</v>
      </c>
      <c r="H175">
        <v>3.3</v>
      </c>
      <c r="I175">
        <v>90</v>
      </c>
      <c r="J175">
        <v>128</v>
      </c>
      <c r="K175">
        <v>160</v>
      </c>
      <c r="L175">
        <v>90</v>
      </c>
      <c r="M175" t="s">
        <v>15</v>
      </c>
      <c r="O175">
        <v>1.201</v>
      </c>
      <c r="P175">
        <v>1.501</v>
      </c>
      <c r="Q175">
        <v>18.52</v>
      </c>
      <c r="R175">
        <v>2</v>
      </c>
      <c r="S175">
        <v>69.11</v>
      </c>
    </row>
    <row r="176" spans="2:19">
      <c r="B176" s="6">
        <v>168</v>
      </c>
      <c r="C176">
        <v>12</v>
      </c>
      <c r="D176" t="s">
        <v>3</v>
      </c>
      <c r="E176">
        <v>0</v>
      </c>
      <c r="F176">
        <v>0</v>
      </c>
      <c r="G176">
        <v>0</v>
      </c>
      <c r="H176">
        <v>3.3</v>
      </c>
      <c r="I176">
        <v>90</v>
      </c>
      <c r="J176">
        <v>128</v>
      </c>
      <c r="K176">
        <v>160</v>
      </c>
      <c r="L176">
        <v>-35</v>
      </c>
      <c r="M176" t="s">
        <v>16</v>
      </c>
      <c r="O176">
        <v>0.845</v>
      </c>
      <c r="P176">
        <v>1.054</v>
      </c>
      <c r="Q176">
        <v>65.78</v>
      </c>
      <c r="R176">
        <v>2.737</v>
      </c>
      <c r="S176">
        <v>151.5</v>
      </c>
    </row>
    <row r="177" spans="2:19">
      <c r="B177" s="6">
        <v>169</v>
      </c>
      <c r="C177">
        <v>12</v>
      </c>
      <c r="D177" t="s">
        <v>4</v>
      </c>
      <c r="E177">
        <v>0</v>
      </c>
      <c r="F177">
        <v>0</v>
      </c>
      <c r="G177">
        <v>0</v>
      </c>
      <c r="H177">
        <v>3.3</v>
      </c>
      <c r="I177">
        <v>90</v>
      </c>
      <c r="J177">
        <v>128</v>
      </c>
      <c r="K177">
        <v>160</v>
      </c>
      <c r="L177">
        <v>27</v>
      </c>
      <c r="M177" t="s">
        <v>16</v>
      </c>
      <c r="O177">
        <v>1.018</v>
      </c>
      <c r="P177">
        <v>1.273</v>
      </c>
      <c r="Q177">
        <v>38.21</v>
      </c>
      <c r="R177">
        <v>2.627</v>
      </c>
      <c r="S177">
        <v>96.44</v>
      </c>
    </row>
    <row r="178" spans="2:19">
      <c r="B178" s="6">
        <v>170</v>
      </c>
      <c r="C178">
        <v>12</v>
      </c>
      <c r="D178" t="s">
        <v>5</v>
      </c>
      <c r="E178">
        <v>0</v>
      </c>
      <c r="F178">
        <v>0</v>
      </c>
      <c r="G178">
        <v>0</v>
      </c>
      <c r="H178">
        <v>3.3</v>
      </c>
      <c r="I178">
        <v>90</v>
      </c>
      <c r="J178">
        <v>128</v>
      </c>
      <c r="K178">
        <v>160</v>
      </c>
      <c r="L178">
        <v>90</v>
      </c>
      <c r="M178" t="s">
        <v>16</v>
      </c>
      <c r="O178">
        <v>1.239</v>
      </c>
      <c r="P178">
        <v>1.548</v>
      </c>
      <c r="Q178">
        <v>15.59</v>
      </c>
      <c r="R178">
        <v>1.942</v>
      </c>
      <c r="S178">
        <v>95.33</v>
      </c>
    </row>
    <row r="179" spans="2:19">
      <c r="B179" s="6">
        <v>171</v>
      </c>
      <c r="C179">
        <v>12</v>
      </c>
      <c r="D179" t="s">
        <v>6</v>
      </c>
      <c r="E179">
        <v>0</v>
      </c>
      <c r="F179">
        <v>0</v>
      </c>
      <c r="G179">
        <v>0</v>
      </c>
      <c r="H179">
        <v>3.3</v>
      </c>
      <c r="I179">
        <v>90</v>
      </c>
      <c r="J179">
        <v>128</v>
      </c>
      <c r="K179">
        <v>160</v>
      </c>
      <c r="L179">
        <v>-35</v>
      </c>
      <c r="M179" t="s">
        <v>17</v>
      </c>
      <c r="O179">
        <v>0.844</v>
      </c>
      <c r="P179">
        <v>1.054</v>
      </c>
      <c r="Q179">
        <v>71.18000000000001</v>
      </c>
      <c r="R179">
        <v>3.162</v>
      </c>
      <c r="S179">
        <v>68.15000000000001</v>
      </c>
    </row>
    <row r="180" spans="2:19">
      <c r="B180" s="6">
        <v>172</v>
      </c>
      <c r="C180">
        <v>12</v>
      </c>
      <c r="D180" t="s">
        <v>7</v>
      </c>
      <c r="E180">
        <v>0</v>
      </c>
      <c r="F180">
        <v>0</v>
      </c>
      <c r="G180">
        <v>0</v>
      </c>
      <c r="H180">
        <v>3.3</v>
      </c>
      <c r="I180">
        <v>90</v>
      </c>
      <c r="J180">
        <v>128</v>
      </c>
      <c r="K180">
        <v>160</v>
      </c>
      <c r="L180">
        <v>27</v>
      </c>
      <c r="M180" t="s">
        <v>17</v>
      </c>
      <c r="O180">
        <v>1.017</v>
      </c>
      <c r="P180">
        <v>1.271</v>
      </c>
      <c r="Q180">
        <v>38.52</v>
      </c>
      <c r="R180">
        <v>2.822</v>
      </c>
      <c r="S180">
        <v>70.89</v>
      </c>
    </row>
    <row r="181" spans="2:19">
      <c r="B181" s="6">
        <v>173</v>
      </c>
      <c r="C181">
        <v>12</v>
      </c>
      <c r="D181" t="s">
        <v>8</v>
      </c>
      <c r="E181">
        <v>0</v>
      </c>
      <c r="F181">
        <v>0</v>
      </c>
      <c r="G181">
        <v>0</v>
      </c>
      <c r="H181">
        <v>3.3</v>
      </c>
      <c r="I181">
        <v>90</v>
      </c>
      <c r="J181">
        <v>128</v>
      </c>
      <c r="K181">
        <v>160</v>
      </c>
      <c r="L181">
        <v>90</v>
      </c>
      <c r="M181" t="s">
        <v>17</v>
      </c>
      <c r="O181">
        <v>1.237</v>
      </c>
      <c r="P181">
        <v>1.547</v>
      </c>
      <c r="Q181">
        <v>14.68</v>
      </c>
      <c r="R181">
        <v>2.395</v>
      </c>
      <c r="S181">
        <v>70.47</v>
      </c>
    </row>
    <row r="182" spans="2:19">
      <c r="B182" s="6">
        <v>174</v>
      </c>
      <c r="C182">
        <v>12</v>
      </c>
      <c r="D182" t="s">
        <v>9</v>
      </c>
      <c r="E182">
        <v>3</v>
      </c>
      <c r="F182">
        <v>3</v>
      </c>
      <c r="G182">
        <v>3</v>
      </c>
      <c r="H182">
        <v>3.3</v>
      </c>
      <c r="I182">
        <v>90</v>
      </c>
      <c r="J182">
        <v>128</v>
      </c>
      <c r="K182">
        <v>160</v>
      </c>
      <c r="L182">
        <v>-35</v>
      </c>
      <c r="M182" t="s">
        <v>18</v>
      </c>
      <c r="O182">
        <v>0.871</v>
      </c>
      <c r="P182">
        <v>1.087</v>
      </c>
      <c r="Q182">
        <v>60.37</v>
      </c>
      <c r="R182">
        <v>3.289</v>
      </c>
      <c r="S182">
        <v>113.1</v>
      </c>
    </row>
    <row r="183" spans="2:19">
      <c r="B183" s="6">
        <v>175</v>
      </c>
      <c r="C183">
        <v>12</v>
      </c>
      <c r="D183" t="s">
        <v>10</v>
      </c>
      <c r="E183">
        <v>3</v>
      </c>
      <c r="F183">
        <v>3</v>
      </c>
      <c r="G183">
        <v>3</v>
      </c>
      <c r="H183">
        <v>3.3</v>
      </c>
      <c r="I183">
        <v>90</v>
      </c>
      <c r="J183">
        <v>128</v>
      </c>
      <c r="K183">
        <v>160</v>
      </c>
      <c r="L183">
        <v>27</v>
      </c>
      <c r="M183" t="s">
        <v>18</v>
      </c>
      <c r="O183">
        <v>1.053</v>
      </c>
      <c r="P183">
        <v>1.317</v>
      </c>
      <c r="Q183">
        <v>34.64</v>
      </c>
      <c r="R183">
        <v>3.09</v>
      </c>
      <c r="S183">
        <v>104.2</v>
      </c>
    </row>
    <row r="184" spans="2:19">
      <c r="B184" s="6">
        <v>176</v>
      </c>
      <c r="C184">
        <v>12</v>
      </c>
      <c r="D184" t="s">
        <v>11</v>
      </c>
      <c r="E184">
        <v>3</v>
      </c>
      <c r="F184">
        <v>3</v>
      </c>
      <c r="G184">
        <v>3</v>
      </c>
      <c r="H184">
        <v>3.3</v>
      </c>
      <c r="I184">
        <v>90</v>
      </c>
      <c r="J184">
        <v>128</v>
      </c>
      <c r="K184">
        <v>160</v>
      </c>
      <c r="L184">
        <v>90</v>
      </c>
      <c r="M184" t="s">
        <v>18</v>
      </c>
      <c r="O184">
        <v>1.26</v>
      </c>
      <c r="P184">
        <v>1.575</v>
      </c>
      <c r="Q184">
        <v>14.31</v>
      </c>
      <c r="R184">
        <v>2.342</v>
      </c>
      <c r="S184">
        <v>93.29000000000001</v>
      </c>
    </row>
    <row r="185" spans="2:19">
      <c r="B185" s="6">
        <v>177</v>
      </c>
      <c r="C185">
        <v>12</v>
      </c>
      <c r="D185" t="s">
        <v>12</v>
      </c>
      <c r="E185">
        <v>0</v>
      </c>
      <c r="F185">
        <v>0</v>
      </c>
      <c r="G185">
        <v>0</v>
      </c>
      <c r="H185">
        <v>3.3</v>
      </c>
      <c r="I185">
        <v>90</v>
      </c>
      <c r="J185">
        <v>128</v>
      </c>
      <c r="K185">
        <v>160</v>
      </c>
      <c r="L185">
        <v>-35</v>
      </c>
      <c r="M185" t="s">
        <v>19</v>
      </c>
      <c r="O185">
        <v>0.844</v>
      </c>
      <c r="P185">
        <v>1.054</v>
      </c>
      <c r="Q185">
        <v>64.62</v>
      </c>
      <c r="R185">
        <v>2.952</v>
      </c>
      <c r="S185">
        <v>77.34</v>
      </c>
    </row>
    <row r="186" spans="2:19">
      <c r="B186" s="6">
        <v>178</v>
      </c>
      <c r="C186">
        <v>12</v>
      </c>
      <c r="D186" t="s">
        <v>13</v>
      </c>
      <c r="E186">
        <v>0</v>
      </c>
      <c r="F186">
        <v>0</v>
      </c>
      <c r="G186">
        <v>0</v>
      </c>
      <c r="H186">
        <v>3.3</v>
      </c>
      <c r="I186">
        <v>90</v>
      </c>
      <c r="J186">
        <v>128</v>
      </c>
      <c r="K186">
        <v>160</v>
      </c>
      <c r="L186">
        <v>27</v>
      </c>
      <c r="M186" t="s">
        <v>19</v>
      </c>
      <c r="O186">
        <v>1.017</v>
      </c>
      <c r="P186">
        <v>1.271</v>
      </c>
      <c r="Q186">
        <v>38.8</v>
      </c>
      <c r="R186">
        <v>2.679</v>
      </c>
      <c r="S186">
        <v>79.98999999999999</v>
      </c>
    </row>
    <row r="187" spans="2:19">
      <c r="B187" s="6">
        <v>179</v>
      </c>
      <c r="C187">
        <v>12</v>
      </c>
      <c r="D187" t="s">
        <v>14</v>
      </c>
      <c r="E187">
        <v>0</v>
      </c>
      <c r="F187">
        <v>0</v>
      </c>
      <c r="G187">
        <v>0</v>
      </c>
      <c r="H187">
        <v>3.3</v>
      </c>
      <c r="I187">
        <v>90</v>
      </c>
      <c r="J187">
        <v>128</v>
      </c>
      <c r="K187">
        <v>160</v>
      </c>
      <c r="L187">
        <v>90</v>
      </c>
      <c r="M187" t="s">
        <v>19</v>
      </c>
      <c r="O187">
        <v>1.238</v>
      </c>
      <c r="P187">
        <v>1.547</v>
      </c>
      <c r="Q187">
        <v>14.27</v>
      </c>
      <c r="R187">
        <v>2.147</v>
      </c>
      <c r="S187">
        <v>82.64</v>
      </c>
    </row>
    <row r="188" spans="2:19">
      <c r="B188" s="6">
        <v>180</v>
      </c>
      <c r="C188">
        <v>13</v>
      </c>
      <c r="D188" t="s">
        <v>0</v>
      </c>
      <c r="E188">
        <v>-3</v>
      </c>
      <c r="F188">
        <v>-3</v>
      </c>
      <c r="G188">
        <v>-3</v>
      </c>
      <c r="H188">
        <v>4.9</v>
      </c>
      <c r="I188">
        <v>90</v>
      </c>
      <c r="J188">
        <v>255</v>
      </c>
      <c r="K188">
        <v>128</v>
      </c>
      <c r="L188">
        <v>-35</v>
      </c>
      <c r="M188" t="s">
        <v>15</v>
      </c>
      <c r="O188">
        <v>1.631</v>
      </c>
      <c r="P188">
        <v>0.819</v>
      </c>
      <c r="Q188">
        <v>64.06999999999999</v>
      </c>
      <c r="R188">
        <v>2.797</v>
      </c>
      <c r="S188">
        <v>3.874</v>
      </c>
    </row>
    <row r="189" spans="2:19">
      <c r="B189" s="6">
        <v>181</v>
      </c>
      <c r="C189">
        <v>13</v>
      </c>
      <c r="D189" t="s">
        <v>1</v>
      </c>
      <c r="E189">
        <v>-3</v>
      </c>
      <c r="F189">
        <v>-3</v>
      </c>
      <c r="G189">
        <v>-3</v>
      </c>
      <c r="H189">
        <v>4.9</v>
      </c>
      <c r="I189">
        <v>90</v>
      </c>
      <c r="J189">
        <v>255</v>
      </c>
      <c r="K189">
        <v>128</v>
      </c>
      <c r="L189">
        <v>27</v>
      </c>
      <c r="M189" t="s">
        <v>15</v>
      </c>
      <c r="O189">
        <v>1.958</v>
      </c>
      <c r="P189">
        <v>0.983</v>
      </c>
      <c r="Q189">
        <v>42.87</v>
      </c>
      <c r="R189">
        <v>2.401</v>
      </c>
      <c r="S189">
        <v>4.162</v>
      </c>
    </row>
    <row r="190" spans="2:19">
      <c r="B190" s="6">
        <v>182</v>
      </c>
      <c r="C190">
        <v>13</v>
      </c>
      <c r="D190" t="s">
        <v>2</v>
      </c>
      <c r="E190">
        <v>-3</v>
      </c>
      <c r="F190">
        <v>-3</v>
      </c>
      <c r="G190">
        <v>-3</v>
      </c>
      <c r="H190">
        <v>4.9</v>
      </c>
      <c r="I190">
        <v>90</v>
      </c>
      <c r="J190">
        <v>255</v>
      </c>
      <c r="K190">
        <v>128</v>
      </c>
      <c r="L190">
        <v>90</v>
      </c>
      <c r="M190" t="s">
        <v>15</v>
      </c>
      <c r="O190">
        <v>2.393</v>
      </c>
      <c r="P190">
        <v>1.201</v>
      </c>
      <c r="Q190">
        <v>18.59</v>
      </c>
      <c r="R190">
        <v>2</v>
      </c>
      <c r="S190">
        <v>4.594</v>
      </c>
    </row>
    <row r="191" spans="2:19">
      <c r="B191" s="6">
        <v>183</v>
      </c>
      <c r="C191">
        <v>13</v>
      </c>
      <c r="D191" t="s">
        <v>3</v>
      </c>
      <c r="E191">
        <v>0</v>
      </c>
      <c r="F191">
        <v>0</v>
      </c>
      <c r="G191">
        <v>0</v>
      </c>
      <c r="H191">
        <v>4.9</v>
      </c>
      <c r="I191">
        <v>90</v>
      </c>
      <c r="J191">
        <v>255</v>
      </c>
      <c r="K191">
        <v>128</v>
      </c>
      <c r="L191">
        <v>-35</v>
      </c>
      <c r="M191" t="s">
        <v>16</v>
      </c>
      <c r="O191">
        <v>1.691</v>
      </c>
      <c r="P191">
        <v>0.849</v>
      </c>
      <c r="Q191">
        <v>66.5</v>
      </c>
      <c r="R191">
        <v>2.743</v>
      </c>
      <c r="S191">
        <v>4.696</v>
      </c>
    </row>
    <row r="192" spans="2:19">
      <c r="B192" s="6">
        <v>184</v>
      </c>
      <c r="C192">
        <v>13</v>
      </c>
      <c r="D192" t="s">
        <v>4</v>
      </c>
      <c r="E192">
        <v>0</v>
      </c>
      <c r="F192">
        <v>0</v>
      </c>
      <c r="G192">
        <v>0</v>
      </c>
      <c r="H192">
        <v>4.9</v>
      </c>
      <c r="I192">
        <v>90</v>
      </c>
      <c r="J192">
        <v>255</v>
      </c>
      <c r="K192">
        <v>128</v>
      </c>
      <c r="L192">
        <v>27</v>
      </c>
      <c r="M192" t="s">
        <v>16</v>
      </c>
      <c r="O192">
        <v>2.03</v>
      </c>
      <c r="P192">
        <v>1.019</v>
      </c>
      <c r="Q192">
        <v>38.4</v>
      </c>
      <c r="R192">
        <v>2.634</v>
      </c>
      <c r="S192">
        <v>5.187</v>
      </c>
    </row>
    <row r="193" spans="2:19">
      <c r="B193" s="6">
        <v>185</v>
      </c>
      <c r="C193">
        <v>13</v>
      </c>
      <c r="D193" t="s">
        <v>5</v>
      </c>
      <c r="E193">
        <v>0</v>
      </c>
      <c r="F193">
        <v>0</v>
      </c>
      <c r="G193">
        <v>0</v>
      </c>
      <c r="H193">
        <v>4.9</v>
      </c>
      <c r="I193">
        <v>90</v>
      </c>
      <c r="J193">
        <v>255</v>
      </c>
      <c r="K193">
        <v>128</v>
      </c>
      <c r="L193">
        <v>90</v>
      </c>
      <c r="M193" t="s">
        <v>16</v>
      </c>
      <c r="O193">
        <v>2.467</v>
      </c>
      <c r="P193">
        <v>1.239</v>
      </c>
      <c r="Q193">
        <v>15.62</v>
      </c>
      <c r="R193">
        <v>1.944</v>
      </c>
      <c r="S193">
        <v>5.685</v>
      </c>
    </row>
    <row r="194" spans="2:19">
      <c r="B194" s="6">
        <v>186</v>
      </c>
      <c r="C194">
        <v>13</v>
      </c>
      <c r="D194" t="s">
        <v>6</v>
      </c>
      <c r="E194">
        <v>0</v>
      </c>
      <c r="F194">
        <v>0</v>
      </c>
      <c r="G194">
        <v>0</v>
      </c>
      <c r="H194">
        <v>4.9</v>
      </c>
      <c r="I194">
        <v>90</v>
      </c>
      <c r="J194">
        <v>255</v>
      </c>
      <c r="K194">
        <v>128</v>
      </c>
      <c r="L194">
        <v>-35</v>
      </c>
      <c r="M194" t="s">
        <v>17</v>
      </c>
      <c r="O194">
        <v>1.69</v>
      </c>
      <c r="P194">
        <v>0.849</v>
      </c>
      <c r="Q194">
        <v>73.23</v>
      </c>
      <c r="R194">
        <v>3.289</v>
      </c>
      <c r="S194">
        <v>5.164</v>
      </c>
    </row>
    <row r="195" spans="2:19">
      <c r="B195" s="6">
        <v>187</v>
      </c>
      <c r="C195">
        <v>13</v>
      </c>
      <c r="D195" t="s">
        <v>7</v>
      </c>
      <c r="E195">
        <v>0</v>
      </c>
      <c r="F195">
        <v>0</v>
      </c>
      <c r="G195">
        <v>0</v>
      </c>
      <c r="H195">
        <v>4.9</v>
      </c>
      <c r="I195">
        <v>90</v>
      </c>
      <c r="J195">
        <v>255</v>
      </c>
      <c r="K195">
        <v>128</v>
      </c>
      <c r="L195">
        <v>27</v>
      </c>
      <c r="M195" t="s">
        <v>17</v>
      </c>
      <c r="O195">
        <v>2.027</v>
      </c>
      <c r="P195">
        <v>1.018</v>
      </c>
      <c r="Q195">
        <v>38.8</v>
      </c>
      <c r="R195">
        <v>2.821</v>
      </c>
      <c r="S195">
        <v>5.476</v>
      </c>
    </row>
    <row r="196" spans="2:19">
      <c r="B196" s="6">
        <v>188</v>
      </c>
      <c r="C196">
        <v>13</v>
      </c>
      <c r="D196" t="s">
        <v>8</v>
      </c>
      <c r="E196">
        <v>0</v>
      </c>
      <c r="F196">
        <v>0</v>
      </c>
      <c r="G196">
        <v>0</v>
      </c>
      <c r="H196">
        <v>4.9</v>
      </c>
      <c r="I196">
        <v>90</v>
      </c>
      <c r="J196">
        <v>255</v>
      </c>
      <c r="K196">
        <v>128</v>
      </c>
      <c r="L196">
        <v>90</v>
      </c>
      <c r="M196" t="s">
        <v>17</v>
      </c>
      <c r="O196">
        <v>2.465</v>
      </c>
      <c r="P196">
        <v>1.238</v>
      </c>
      <c r="Q196">
        <v>14.77</v>
      </c>
      <c r="R196">
        <v>2.394</v>
      </c>
      <c r="S196">
        <v>6.115</v>
      </c>
    </row>
    <row r="197" spans="2:19">
      <c r="B197" s="6">
        <v>189</v>
      </c>
      <c r="C197">
        <v>13</v>
      </c>
      <c r="D197" t="s">
        <v>10</v>
      </c>
      <c r="E197">
        <v>3</v>
      </c>
      <c r="F197">
        <v>3</v>
      </c>
      <c r="G197">
        <v>3</v>
      </c>
      <c r="H197">
        <v>4.9</v>
      </c>
      <c r="I197">
        <v>90</v>
      </c>
      <c r="J197">
        <v>255</v>
      </c>
      <c r="K197">
        <v>128</v>
      </c>
      <c r="L197">
        <v>27</v>
      </c>
      <c r="M197" t="s">
        <v>18</v>
      </c>
      <c r="O197">
        <v>2.1</v>
      </c>
      <c r="P197">
        <v>1.054</v>
      </c>
      <c r="Q197">
        <v>35.12</v>
      </c>
      <c r="R197">
        <v>3.094</v>
      </c>
      <c r="S197">
        <v>6.734</v>
      </c>
    </row>
    <row r="198" spans="2:19">
      <c r="B198" s="6">
        <v>190</v>
      </c>
      <c r="C198">
        <v>13</v>
      </c>
      <c r="D198" t="s">
        <v>11</v>
      </c>
      <c r="E198">
        <v>3</v>
      </c>
      <c r="F198">
        <v>3</v>
      </c>
      <c r="G198">
        <v>3</v>
      </c>
      <c r="H198">
        <v>4.9</v>
      </c>
      <c r="I198">
        <v>90</v>
      </c>
      <c r="J198">
        <v>255</v>
      </c>
      <c r="K198">
        <v>128</v>
      </c>
      <c r="L198">
        <v>90</v>
      </c>
      <c r="M198" t="s">
        <v>18</v>
      </c>
      <c r="O198">
        <v>2.51</v>
      </c>
      <c r="P198">
        <v>1.26</v>
      </c>
      <c r="Q198">
        <v>15.31</v>
      </c>
      <c r="R198">
        <v>2.37</v>
      </c>
      <c r="S198">
        <v>7.475</v>
      </c>
    </row>
    <row r="199" spans="2:19">
      <c r="B199" s="6">
        <v>191</v>
      </c>
      <c r="C199">
        <v>13</v>
      </c>
      <c r="D199" t="s">
        <v>12</v>
      </c>
      <c r="E199">
        <v>0</v>
      </c>
      <c r="F199">
        <v>0</v>
      </c>
      <c r="G199">
        <v>0</v>
      </c>
      <c r="H199">
        <v>4.9</v>
      </c>
      <c r="I199">
        <v>90</v>
      </c>
      <c r="J199">
        <v>255</v>
      </c>
      <c r="K199">
        <v>128</v>
      </c>
      <c r="L199">
        <v>-35</v>
      </c>
      <c r="M199" t="s">
        <v>19</v>
      </c>
      <c r="O199">
        <v>1.69</v>
      </c>
      <c r="P199">
        <v>0.849</v>
      </c>
      <c r="Q199">
        <v>65.23</v>
      </c>
      <c r="R199">
        <v>2.95</v>
      </c>
      <c r="S199">
        <v>4.596</v>
      </c>
    </row>
    <row r="200" spans="2:19">
      <c r="B200" s="6">
        <v>192</v>
      </c>
      <c r="C200">
        <v>13</v>
      </c>
      <c r="D200" t="s">
        <v>13</v>
      </c>
      <c r="E200">
        <v>0</v>
      </c>
      <c r="F200">
        <v>0</v>
      </c>
      <c r="G200">
        <v>0</v>
      </c>
      <c r="H200">
        <v>4.9</v>
      </c>
      <c r="I200">
        <v>90</v>
      </c>
      <c r="J200">
        <v>255</v>
      </c>
      <c r="K200">
        <v>128</v>
      </c>
      <c r="L200">
        <v>27</v>
      </c>
      <c r="M200" t="s">
        <v>19</v>
      </c>
      <c r="O200">
        <v>2.028</v>
      </c>
      <c r="P200">
        <v>1.018</v>
      </c>
      <c r="Q200">
        <v>38.61</v>
      </c>
      <c r="R200">
        <v>2.687</v>
      </c>
      <c r="S200">
        <v>5.047</v>
      </c>
    </row>
    <row r="201" spans="2:19">
      <c r="B201" s="6">
        <v>193</v>
      </c>
      <c r="C201">
        <v>13</v>
      </c>
      <c r="D201" t="s">
        <v>14</v>
      </c>
      <c r="E201">
        <v>0</v>
      </c>
      <c r="F201">
        <v>0</v>
      </c>
      <c r="G201">
        <v>0</v>
      </c>
      <c r="H201">
        <v>4.9</v>
      </c>
      <c r="I201">
        <v>90</v>
      </c>
      <c r="J201">
        <v>255</v>
      </c>
      <c r="K201">
        <v>128</v>
      </c>
      <c r="L201">
        <v>90</v>
      </c>
      <c r="M201" t="s">
        <v>19</v>
      </c>
      <c r="O201">
        <v>2.465</v>
      </c>
      <c r="P201">
        <v>1.238</v>
      </c>
      <c r="Q201">
        <v>14.41</v>
      </c>
      <c r="R201">
        <v>2.15</v>
      </c>
      <c r="S201">
        <v>5.591</v>
      </c>
    </row>
    <row r="202" spans="2:19">
      <c r="B202" s="6">
        <v>194</v>
      </c>
      <c r="C202">
        <v>14</v>
      </c>
      <c r="D202" t="s">
        <v>0</v>
      </c>
      <c r="E202">
        <v>-3</v>
      </c>
      <c r="F202">
        <v>-3</v>
      </c>
      <c r="G202">
        <v>-3</v>
      </c>
      <c r="H202">
        <v>4.9</v>
      </c>
      <c r="I202">
        <v>90</v>
      </c>
      <c r="J202">
        <v>128</v>
      </c>
      <c r="K202">
        <v>255</v>
      </c>
      <c r="L202">
        <v>-35</v>
      </c>
      <c r="M202" t="s">
        <v>15</v>
      </c>
      <c r="O202">
        <v>0.819</v>
      </c>
      <c r="P202">
        <v>1.631</v>
      </c>
      <c r="Q202">
        <v>63.76</v>
      </c>
      <c r="R202">
        <v>2.791</v>
      </c>
      <c r="S202">
        <v>132.5</v>
      </c>
    </row>
    <row r="203" spans="2:19">
      <c r="B203" s="6">
        <v>195</v>
      </c>
      <c r="C203">
        <v>14</v>
      </c>
      <c r="D203" t="s">
        <v>1</v>
      </c>
      <c r="E203">
        <v>-3</v>
      </c>
      <c r="F203">
        <v>-3</v>
      </c>
      <c r="G203">
        <v>-3</v>
      </c>
      <c r="H203">
        <v>4.9</v>
      </c>
      <c r="I203">
        <v>90</v>
      </c>
      <c r="J203">
        <v>128</v>
      </c>
      <c r="K203">
        <v>255</v>
      </c>
      <c r="L203">
        <v>27</v>
      </c>
      <c r="M203" t="s">
        <v>15</v>
      </c>
      <c r="O203">
        <v>0.983</v>
      </c>
      <c r="P203">
        <v>1.958</v>
      </c>
      <c r="Q203">
        <v>42.78</v>
      </c>
      <c r="R203">
        <v>2.4</v>
      </c>
      <c r="S203">
        <v>110.9</v>
      </c>
    </row>
    <row r="204" spans="2:19">
      <c r="B204" s="6">
        <v>196</v>
      </c>
      <c r="C204">
        <v>14</v>
      </c>
      <c r="D204" t="s">
        <v>2</v>
      </c>
      <c r="E204">
        <v>-3</v>
      </c>
      <c r="F204">
        <v>-3</v>
      </c>
      <c r="G204">
        <v>-3</v>
      </c>
      <c r="H204">
        <v>4.9</v>
      </c>
      <c r="I204">
        <v>90</v>
      </c>
      <c r="J204">
        <v>128</v>
      </c>
      <c r="K204">
        <v>255</v>
      </c>
      <c r="L204">
        <v>90</v>
      </c>
      <c r="M204" t="s">
        <v>15</v>
      </c>
      <c r="O204">
        <v>1.201</v>
      </c>
      <c r="P204">
        <v>2.393</v>
      </c>
      <c r="Q204">
        <v>18.56</v>
      </c>
      <c r="R204">
        <v>1.999</v>
      </c>
      <c r="S204">
        <v>112.6</v>
      </c>
    </row>
    <row r="205" spans="2:19">
      <c r="B205" s="6">
        <v>197</v>
      </c>
      <c r="C205">
        <v>14</v>
      </c>
      <c r="D205" t="s">
        <v>3</v>
      </c>
      <c r="E205">
        <v>0</v>
      </c>
      <c r="F205">
        <v>0</v>
      </c>
      <c r="G205">
        <v>0</v>
      </c>
      <c r="H205">
        <v>4.9</v>
      </c>
      <c r="I205">
        <v>90</v>
      </c>
      <c r="J205">
        <v>128</v>
      </c>
      <c r="K205">
        <v>255</v>
      </c>
      <c r="L205">
        <v>-35</v>
      </c>
      <c r="M205" t="s">
        <v>16</v>
      </c>
      <c r="O205">
        <v>0.849</v>
      </c>
      <c r="P205">
        <v>1.691</v>
      </c>
      <c r="Q205">
        <v>66.40000000000001</v>
      </c>
      <c r="R205">
        <v>2.741</v>
      </c>
      <c r="S205">
        <v>147.4</v>
      </c>
    </row>
    <row r="206" spans="2:19">
      <c r="B206" s="6">
        <v>198</v>
      </c>
      <c r="C206">
        <v>14</v>
      </c>
      <c r="D206" t="s">
        <v>4</v>
      </c>
      <c r="E206">
        <v>0</v>
      </c>
      <c r="F206">
        <v>0</v>
      </c>
      <c r="G206">
        <v>0</v>
      </c>
      <c r="H206">
        <v>4.9</v>
      </c>
      <c r="I206">
        <v>90</v>
      </c>
      <c r="J206">
        <v>128</v>
      </c>
      <c r="K206">
        <v>255</v>
      </c>
      <c r="L206">
        <v>27</v>
      </c>
      <c r="M206" t="s">
        <v>16</v>
      </c>
      <c r="O206">
        <v>1.019</v>
      </c>
      <c r="P206">
        <v>2.03</v>
      </c>
      <c r="Q206">
        <v>38.43</v>
      </c>
      <c r="R206">
        <v>2.632</v>
      </c>
      <c r="S206">
        <v>146.7</v>
      </c>
    </row>
    <row r="207" spans="2:19">
      <c r="B207" s="6">
        <v>199</v>
      </c>
      <c r="C207">
        <v>14</v>
      </c>
      <c r="D207" t="s">
        <v>5</v>
      </c>
      <c r="E207">
        <v>0</v>
      </c>
      <c r="F207">
        <v>0</v>
      </c>
      <c r="G207">
        <v>0</v>
      </c>
      <c r="H207">
        <v>4.9</v>
      </c>
      <c r="I207">
        <v>90</v>
      </c>
      <c r="J207">
        <v>128</v>
      </c>
      <c r="K207">
        <v>255</v>
      </c>
      <c r="L207">
        <v>90</v>
      </c>
      <c r="M207" t="s">
        <v>16</v>
      </c>
      <c r="O207">
        <v>1.239</v>
      </c>
      <c r="P207">
        <v>2.467</v>
      </c>
      <c r="Q207">
        <v>15.64</v>
      </c>
      <c r="R207">
        <v>1.939</v>
      </c>
      <c r="S207">
        <v>148.3</v>
      </c>
    </row>
    <row r="208" spans="2:19">
      <c r="B208" s="6">
        <v>200</v>
      </c>
      <c r="C208">
        <v>14</v>
      </c>
      <c r="D208" t="s">
        <v>6</v>
      </c>
      <c r="E208">
        <v>0</v>
      </c>
      <c r="F208">
        <v>0</v>
      </c>
      <c r="G208">
        <v>0</v>
      </c>
      <c r="H208">
        <v>4.9</v>
      </c>
      <c r="I208">
        <v>90</v>
      </c>
      <c r="J208">
        <v>128</v>
      </c>
      <c r="K208">
        <v>255</v>
      </c>
      <c r="L208">
        <v>-35</v>
      </c>
      <c r="M208" t="s">
        <v>17</v>
      </c>
      <c r="O208">
        <v>0.849</v>
      </c>
      <c r="P208">
        <v>1.69</v>
      </c>
      <c r="Q208">
        <v>72.92</v>
      </c>
      <c r="R208">
        <v>3.284</v>
      </c>
      <c r="S208">
        <v>132.5</v>
      </c>
    </row>
    <row r="209" spans="2:19">
      <c r="B209" s="6">
        <v>201</v>
      </c>
      <c r="C209">
        <v>14</v>
      </c>
      <c r="D209" t="s">
        <v>7</v>
      </c>
      <c r="E209">
        <v>0</v>
      </c>
      <c r="F209">
        <v>0</v>
      </c>
      <c r="G209">
        <v>0</v>
      </c>
      <c r="H209">
        <v>4.9</v>
      </c>
      <c r="I209">
        <v>90</v>
      </c>
      <c r="J209">
        <v>128</v>
      </c>
      <c r="K209">
        <v>255</v>
      </c>
      <c r="L209">
        <v>27</v>
      </c>
      <c r="M209" t="s">
        <v>17</v>
      </c>
      <c r="O209">
        <v>1.018</v>
      </c>
      <c r="P209">
        <v>2.028</v>
      </c>
      <c r="Q209">
        <v>38.7</v>
      </c>
      <c r="R209">
        <v>2.818</v>
      </c>
      <c r="S209">
        <v>129.1</v>
      </c>
    </row>
    <row r="210" spans="2:19">
      <c r="B210" s="6">
        <v>202</v>
      </c>
      <c r="C210">
        <v>14</v>
      </c>
      <c r="D210" t="s">
        <v>8</v>
      </c>
      <c r="E210">
        <v>0</v>
      </c>
      <c r="F210">
        <v>0</v>
      </c>
      <c r="G210">
        <v>0</v>
      </c>
      <c r="H210">
        <v>4.9</v>
      </c>
      <c r="I210">
        <v>90</v>
      </c>
      <c r="J210">
        <v>128</v>
      </c>
      <c r="K210">
        <v>255</v>
      </c>
      <c r="L210">
        <v>90</v>
      </c>
      <c r="M210" t="s">
        <v>17</v>
      </c>
      <c r="O210">
        <v>1.238</v>
      </c>
      <c r="P210">
        <v>2.465</v>
      </c>
      <c r="Q210">
        <v>14.73</v>
      </c>
      <c r="R210">
        <v>2.39</v>
      </c>
      <c r="S210">
        <v>130.2</v>
      </c>
    </row>
    <row r="211" spans="2:19">
      <c r="B211" s="6">
        <v>203</v>
      </c>
      <c r="C211">
        <v>14</v>
      </c>
      <c r="D211" t="s">
        <v>10</v>
      </c>
      <c r="E211">
        <v>3</v>
      </c>
      <c r="F211">
        <v>3</v>
      </c>
      <c r="G211">
        <v>3</v>
      </c>
      <c r="H211">
        <v>4.9</v>
      </c>
      <c r="I211">
        <v>90</v>
      </c>
      <c r="J211">
        <v>128</v>
      </c>
      <c r="K211">
        <v>255</v>
      </c>
      <c r="L211">
        <v>27</v>
      </c>
      <c r="M211" t="s">
        <v>18</v>
      </c>
      <c r="O211">
        <v>1.054</v>
      </c>
      <c r="P211">
        <v>2.1</v>
      </c>
      <c r="Q211">
        <v>35.1</v>
      </c>
      <c r="R211">
        <v>3.091</v>
      </c>
      <c r="S211">
        <v>168.1</v>
      </c>
    </row>
    <row r="212" spans="2:19">
      <c r="B212" s="6">
        <v>204</v>
      </c>
      <c r="C212">
        <v>14</v>
      </c>
      <c r="D212" t="s">
        <v>11</v>
      </c>
      <c r="E212">
        <v>3</v>
      </c>
      <c r="F212">
        <v>3</v>
      </c>
      <c r="G212">
        <v>3</v>
      </c>
      <c r="H212">
        <v>4.9</v>
      </c>
      <c r="I212">
        <v>90</v>
      </c>
      <c r="J212">
        <v>128</v>
      </c>
      <c r="K212">
        <v>255</v>
      </c>
      <c r="L212">
        <v>90</v>
      </c>
      <c r="M212" t="s">
        <v>18</v>
      </c>
      <c r="O212">
        <v>1.26</v>
      </c>
      <c r="P212">
        <v>2.51</v>
      </c>
      <c r="Q212">
        <v>15.36</v>
      </c>
      <c r="R212">
        <v>2.364</v>
      </c>
      <c r="S212">
        <v>167.8</v>
      </c>
    </row>
    <row r="213" spans="2:19">
      <c r="B213" s="6">
        <v>205</v>
      </c>
      <c r="C213">
        <v>14</v>
      </c>
      <c r="D213" t="s">
        <v>12</v>
      </c>
      <c r="E213">
        <v>0</v>
      </c>
      <c r="F213">
        <v>0</v>
      </c>
      <c r="G213">
        <v>0</v>
      </c>
      <c r="H213">
        <v>4.9</v>
      </c>
      <c r="I213">
        <v>90</v>
      </c>
      <c r="J213">
        <v>128</v>
      </c>
      <c r="K213">
        <v>255</v>
      </c>
      <c r="L213">
        <v>-35</v>
      </c>
      <c r="M213" t="s">
        <v>19</v>
      </c>
      <c r="O213">
        <v>0.849</v>
      </c>
      <c r="P213">
        <v>1.69</v>
      </c>
      <c r="Q213">
        <v>65.17</v>
      </c>
      <c r="R213">
        <v>2.948</v>
      </c>
      <c r="S213">
        <v>138.3</v>
      </c>
    </row>
    <row r="214" spans="2:19">
      <c r="B214" s="6">
        <v>206</v>
      </c>
      <c r="C214">
        <v>14</v>
      </c>
      <c r="D214" t="s">
        <v>13</v>
      </c>
      <c r="E214">
        <v>0</v>
      </c>
      <c r="F214">
        <v>0</v>
      </c>
      <c r="G214">
        <v>0</v>
      </c>
      <c r="H214">
        <v>4.9</v>
      </c>
      <c r="I214">
        <v>90</v>
      </c>
      <c r="J214">
        <v>128</v>
      </c>
      <c r="K214">
        <v>255</v>
      </c>
      <c r="L214">
        <v>27</v>
      </c>
      <c r="M214" t="s">
        <v>19</v>
      </c>
      <c r="O214">
        <v>1.018</v>
      </c>
      <c r="P214">
        <v>2.028</v>
      </c>
      <c r="Q214">
        <v>38.5</v>
      </c>
      <c r="R214">
        <v>2.685</v>
      </c>
      <c r="S214">
        <v>136.7</v>
      </c>
    </row>
    <row r="215" spans="2:19">
      <c r="B215" s="6">
        <v>207</v>
      </c>
      <c r="C215">
        <v>14</v>
      </c>
      <c r="D215" t="s">
        <v>14</v>
      </c>
      <c r="E215">
        <v>0</v>
      </c>
      <c r="F215">
        <v>0</v>
      </c>
      <c r="G215">
        <v>0</v>
      </c>
      <c r="H215">
        <v>4.9</v>
      </c>
      <c r="I215">
        <v>90</v>
      </c>
      <c r="J215">
        <v>128</v>
      </c>
      <c r="K215">
        <v>255</v>
      </c>
      <c r="L215">
        <v>90</v>
      </c>
      <c r="M215" t="s">
        <v>19</v>
      </c>
      <c r="O215">
        <v>1.238</v>
      </c>
      <c r="P215">
        <v>2.466</v>
      </c>
      <c r="Q215">
        <v>14.38</v>
      </c>
      <c r="R215">
        <v>2.146</v>
      </c>
      <c r="S215">
        <v>137.9</v>
      </c>
    </row>
    <row r="216" spans="2:19">
      <c r="B216" s="6">
        <v>208</v>
      </c>
      <c r="C216">
        <v>15</v>
      </c>
      <c r="D216" t="s">
        <v>0</v>
      </c>
      <c r="E216">
        <v>-3</v>
      </c>
      <c r="F216">
        <v>-3</v>
      </c>
      <c r="G216">
        <v>-3</v>
      </c>
      <c r="H216">
        <v>4.9</v>
      </c>
      <c r="I216">
        <v>90</v>
      </c>
      <c r="J216">
        <v>128</v>
      </c>
      <c r="K216">
        <v>160</v>
      </c>
      <c r="L216">
        <v>-35</v>
      </c>
      <c r="M216" t="s">
        <v>15</v>
      </c>
      <c r="O216">
        <v>0.819</v>
      </c>
      <c r="P216">
        <v>1.023</v>
      </c>
      <c r="Q216">
        <v>63.76</v>
      </c>
      <c r="R216">
        <v>2.791</v>
      </c>
      <c r="S216">
        <v>79.93000000000001</v>
      </c>
    </row>
    <row r="217" spans="2:19">
      <c r="B217" s="6">
        <v>209</v>
      </c>
      <c r="C217">
        <v>15</v>
      </c>
      <c r="D217" t="s">
        <v>1</v>
      </c>
      <c r="E217">
        <v>-3</v>
      </c>
      <c r="F217">
        <v>-3</v>
      </c>
      <c r="G217">
        <v>-3</v>
      </c>
      <c r="H217">
        <v>4.9</v>
      </c>
      <c r="I217">
        <v>90</v>
      </c>
      <c r="J217">
        <v>128</v>
      </c>
      <c r="K217">
        <v>160</v>
      </c>
      <c r="L217">
        <v>27</v>
      </c>
      <c r="M217" t="s">
        <v>15</v>
      </c>
      <c r="O217">
        <v>0.983</v>
      </c>
      <c r="P217">
        <v>1.228</v>
      </c>
      <c r="Q217">
        <v>42.78</v>
      </c>
      <c r="R217">
        <v>2.4</v>
      </c>
      <c r="S217">
        <v>82.33</v>
      </c>
    </row>
    <row r="218" spans="2:19">
      <c r="B218" s="6">
        <v>210</v>
      </c>
      <c r="C218">
        <v>15</v>
      </c>
      <c r="D218" t="s">
        <v>2</v>
      </c>
      <c r="E218">
        <v>-3</v>
      </c>
      <c r="F218">
        <v>-3</v>
      </c>
      <c r="G218">
        <v>-3</v>
      </c>
      <c r="H218">
        <v>4.9</v>
      </c>
      <c r="I218">
        <v>90</v>
      </c>
      <c r="J218">
        <v>128</v>
      </c>
      <c r="K218">
        <v>160</v>
      </c>
      <c r="L218">
        <v>90</v>
      </c>
      <c r="M218" t="s">
        <v>15</v>
      </c>
      <c r="O218">
        <v>1.201</v>
      </c>
      <c r="P218">
        <v>1.502</v>
      </c>
      <c r="Q218">
        <v>18.56</v>
      </c>
      <c r="R218">
        <v>1.999</v>
      </c>
      <c r="S218">
        <v>64.27</v>
      </c>
    </row>
    <row r="219" spans="2:19">
      <c r="B219" s="6">
        <v>211</v>
      </c>
      <c r="C219">
        <v>15</v>
      </c>
      <c r="D219" t="s">
        <v>3</v>
      </c>
      <c r="E219">
        <v>0</v>
      </c>
      <c r="F219">
        <v>0</v>
      </c>
      <c r="G219">
        <v>0</v>
      </c>
      <c r="H219">
        <v>4.9</v>
      </c>
      <c r="I219">
        <v>90</v>
      </c>
      <c r="J219">
        <v>128</v>
      </c>
      <c r="K219">
        <v>160</v>
      </c>
      <c r="L219">
        <v>-35</v>
      </c>
      <c r="M219" t="s">
        <v>16</v>
      </c>
      <c r="O219">
        <v>0.849</v>
      </c>
      <c r="P219">
        <v>1.061</v>
      </c>
      <c r="Q219">
        <v>66.40000000000001</v>
      </c>
      <c r="R219">
        <v>2.741</v>
      </c>
      <c r="S219">
        <v>96.75</v>
      </c>
    </row>
    <row r="220" spans="2:19">
      <c r="B220" s="6">
        <v>212</v>
      </c>
      <c r="C220">
        <v>15</v>
      </c>
      <c r="D220" t="s">
        <v>4</v>
      </c>
      <c r="E220">
        <v>0</v>
      </c>
      <c r="F220">
        <v>0</v>
      </c>
      <c r="G220">
        <v>0</v>
      </c>
      <c r="H220">
        <v>4.9</v>
      </c>
      <c r="I220">
        <v>90</v>
      </c>
      <c r="J220">
        <v>128</v>
      </c>
      <c r="K220">
        <v>160</v>
      </c>
      <c r="L220">
        <v>27</v>
      </c>
      <c r="M220" t="s">
        <v>16</v>
      </c>
      <c r="O220">
        <v>1.019</v>
      </c>
      <c r="P220">
        <v>1.274</v>
      </c>
      <c r="Q220">
        <v>38.43</v>
      </c>
      <c r="R220">
        <v>2.632</v>
      </c>
      <c r="S220">
        <v>99.12</v>
      </c>
    </row>
    <row r="221" spans="2:19">
      <c r="B221" s="6">
        <v>213</v>
      </c>
      <c r="C221">
        <v>15</v>
      </c>
      <c r="D221" t="s">
        <v>5</v>
      </c>
      <c r="E221">
        <v>0</v>
      </c>
      <c r="F221">
        <v>0</v>
      </c>
      <c r="G221">
        <v>0</v>
      </c>
      <c r="H221">
        <v>4.9</v>
      </c>
      <c r="I221">
        <v>90</v>
      </c>
      <c r="J221">
        <v>128</v>
      </c>
      <c r="K221">
        <v>160</v>
      </c>
      <c r="L221">
        <v>90</v>
      </c>
      <c r="M221" t="s">
        <v>16</v>
      </c>
      <c r="O221">
        <v>1.239</v>
      </c>
      <c r="P221">
        <v>1.548</v>
      </c>
      <c r="Q221">
        <v>15.64</v>
      </c>
      <c r="R221">
        <v>1.939</v>
      </c>
      <c r="S221">
        <v>78.92</v>
      </c>
    </row>
    <row r="222" spans="2:19">
      <c r="B222" s="6">
        <v>214</v>
      </c>
      <c r="C222">
        <v>15</v>
      </c>
      <c r="D222" t="s">
        <v>6</v>
      </c>
      <c r="E222">
        <v>0</v>
      </c>
      <c r="F222">
        <v>0</v>
      </c>
      <c r="G222">
        <v>0</v>
      </c>
      <c r="H222">
        <v>4.9</v>
      </c>
      <c r="I222">
        <v>90</v>
      </c>
      <c r="J222">
        <v>128</v>
      </c>
      <c r="K222">
        <v>160</v>
      </c>
      <c r="L222">
        <v>-35</v>
      </c>
      <c r="M222" t="s">
        <v>17</v>
      </c>
      <c r="O222">
        <v>0.849</v>
      </c>
      <c r="P222">
        <v>1.061</v>
      </c>
      <c r="Q222">
        <v>72.92</v>
      </c>
      <c r="R222">
        <v>3.284</v>
      </c>
      <c r="S222">
        <v>87.41</v>
      </c>
    </row>
    <row r="223" spans="2:19">
      <c r="B223" s="6">
        <v>215</v>
      </c>
      <c r="C223">
        <v>15</v>
      </c>
      <c r="D223" t="s">
        <v>7</v>
      </c>
      <c r="E223">
        <v>0</v>
      </c>
      <c r="F223">
        <v>0</v>
      </c>
      <c r="G223">
        <v>0</v>
      </c>
      <c r="H223">
        <v>4.9</v>
      </c>
      <c r="I223">
        <v>90</v>
      </c>
      <c r="J223">
        <v>128</v>
      </c>
      <c r="K223">
        <v>160</v>
      </c>
      <c r="L223">
        <v>27</v>
      </c>
      <c r="M223" t="s">
        <v>17</v>
      </c>
      <c r="O223">
        <v>1.018</v>
      </c>
      <c r="P223">
        <v>1.272</v>
      </c>
      <c r="Q223">
        <v>38.7</v>
      </c>
      <c r="R223">
        <v>2.818</v>
      </c>
      <c r="S223">
        <v>69.18000000000001</v>
      </c>
    </row>
    <row r="224" spans="2:19">
      <c r="B224" s="6">
        <v>216</v>
      </c>
      <c r="C224">
        <v>15</v>
      </c>
      <c r="D224" t="s">
        <v>8</v>
      </c>
      <c r="E224">
        <v>0</v>
      </c>
      <c r="F224">
        <v>0</v>
      </c>
      <c r="G224">
        <v>0</v>
      </c>
      <c r="H224">
        <v>4.9</v>
      </c>
      <c r="I224">
        <v>90</v>
      </c>
      <c r="J224">
        <v>128</v>
      </c>
      <c r="K224">
        <v>160</v>
      </c>
      <c r="L224">
        <v>90</v>
      </c>
      <c r="M224" t="s">
        <v>17</v>
      </c>
      <c r="O224">
        <v>1.238</v>
      </c>
      <c r="P224">
        <v>1.547</v>
      </c>
      <c r="Q224">
        <v>14.73</v>
      </c>
      <c r="R224">
        <v>2.39</v>
      </c>
      <c r="S224">
        <v>74.20999999999999</v>
      </c>
    </row>
    <row r="225" spans="2:19">
      <c r="B225" s="6">
        <v>217</v>
      </c>
      <c r="C225">
        <v>15</v>
      </c>
      <c r="D225" t="s">
        <v>10</v>
      </c>
      <c r="E225">
        <v>3</v>
      </c>
      <c r="F225">
        <v>3</v>
      </c>
      <c r="G225">
        <v>3</v>
      </c>
      <c r="H225">
        <v>4.9</v>
      </c>
      <c r="I225">
        <v>90</v>
      </c>
      <c r="J225">
        <v>128</v>
      </c>
      <c r="K225">
        <v>160</v>
      </c>
      <c r="L225">
        <v>27</v>
      </c>
      <c r="M225" t="s">
        <v>18</v>
      </c>
      <c r="O225">
        <v>1.054</v>
      </c>
      <c r="P225">
        <v>1.318</v>
      </c>
      <c r="Q225">
        <v>35.1</v>
      </c>
      <c r="R225">
        <v>3.091</v>
      </c>
      <c r="S225">
        <v>84.28</v>
      </c>
    </row>
    <row r="226" spans="2:19">
      <c r="B226" s="6">
        <v>218</v>
      </c>
      <c r="C226">
        <v>15</v>
      </c>
      <c r="D226" t="s">
        <v>11</v>
      </c>
      <c r="E226">
        <v>3</v>
      </c>
      <c r="F226">
        <v>3</v>
      </c>
      <c r="G226">
        <v>3</v>
      </c>
      <c r="H226">
        <v>4.9</v>
      </c>
      <c r="I226">
        <v>90</v>
      </c>
      <c r="J226">
        <v>128</v>
      </c>
      <c r="K226">
        <v>160</v>
      </c>
      <c r="L226">
        <v>90</v>
      </c>
      <c r="M226" t="s">
        <v>18</v>
      </c>
      <c r="O226">
        <v>1.26</v>
      </c>
      <c r="P226">
        <v>1.575</v>
      </c>
      <c r="Q226">
        <v>15.36</v>
      </c>
      <c r="R226">
        <v>2.364</v>
      </c>
      <c r="S226">
        <v>90.77</v>
      </c>
    </row>
    <row r="227" spans="2:19">
      <c r="B227" s="6">
        <v>219</v>
      </c>
      <c r="C227">
        <v>15</v>
      </c>
      <c r="D227" t="s">
        <v>12</v>
      </c>
      <c r="E227">
        <v>0</v>
      </c>
      <c r="F227">
        <v>0</v>
      </c>
      <c r="G227">
        <v>0</v>
      </c>
      <c r="H227">
        <v>4.9</v>
      </c>
      <c r="I227">
        <v>90</v>
      </c>
      <c r="J227">
        <v>128</v>
      </c>
      <c r="K227">
        <v>160</v>
      </c>
      <c r="L227">
        <v>-35</v>
      </c>
      <c r="M227" t="s">
        <v>19</v>
      </c>
      <c r="O227">
        <v>0.849</v>
      </c>
      <c r="P227">
        <v>1.061</v>
      </c>
      <c r="Q227">
        <v>65.17</v>
      </c>
      <c r="R227">
        <v>2.948</v>
      </c>
      <c r="S227">
        <v>92.02</v>
      </c>
    </row>
    <row r="228" spans="2:19">
      <c r="B228" s="6">
        <v>220</v>
      </c>
      <c r="C228">
        <v>15</v>
      </c>
      <c r="D228" t="s">
        <v>13</v>
      </c>
      <c r="E228">
        <v>0</v>
      </c>
      <c r="F228">
        <v>0</v>
      </c>
      <c r="G228">
        <v>0</v>
      </c>
      <c r="H228">
        <v>4.9</v>
      </c>
      <c r="I228">
        <v>90</v>
      </c>
      <c r="J228">
        <v>128</v>
      </c>
      <c r="K228">
        <v>160</v>
      </c>
      <c r="L228">
        <v>27</v>
      </c>
      <c r="M228" t="s">
        <v>19</v>
      </c>
      <c r="O228">
        <v>1.018</v>
      </c>
      <c r="P228">
        <v>1.272</v>
      </c>
      <c r="Q228">
        <v>38.5</v>
      </c>
      <c r="R228">
        <v>2.685</v>
      </c>
      <c r="S228">
        <v>70.5</v>
      </c>
    </row>
    <row r="229" spans="2:19">
      <c r="B229" s="6">
        <v>221</v>
      </c>
      <c r="C229">
        <v>15</v>
      </c>
      <c r="D229" t="s">
        <v>14</v>
      </c>
      <c r="E229">
        <v>0</v>
      </c>
      <c r="F229">
        <v>0</v>
      </c>
      <c r="G229">
        <v>0</v>
      </c>
      <c r="H229">
        <v>4.9</v>
      </c>
      <c r="I229">
        <v>90</v>
      </c>
      <c r="J229">
        <v>128</v>
      </c>
      <c r="K229">
        <v>160</v>
      </c>
      <c r="L229">
        <v>90</v>
      </c>
      <c r="M229" t="s">
        <v>19</v>
      </c>
      <c r="O229">
        <v>1.238</v>
      </c>
      <c r="P229">
        <v>1.547</v>
      </c>
      <c r="Q229">
        <v>14.38</v>
      </c>
      <c r="R229">
        <v>2.146</v>
      </c>
      <c r="S229">
        <v>75.68000000000001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3:J8"/>
  <sheetViews>
    <sheetView workbookViewId="0"/>
  </sheetViews>
  <sheetFormatPr defaultRowHeight="15"/>
  <cols>
    <col min="9" max="10" width="100.7109375" style="2" customWidth="1"/>
  </cols>
  <sheetData>
    <row r="3" spans="2:10">
      <c r="B3" t="s">
        <v>20</v>
      </c>
      <c r="C3" t="s">
        <v>53</v>
      </c>
      <c r="D3" t="s">
        <v>54</v>
      </c>
      <c r="E3" t="s">
        <v>39</v>
      </c>
      <c r="F3" t="s">
        <v>55</v>
      </c>
      <c r="G3" t="s">
        <v>38</v>
      </c>
      <c r="H3" t="s">
        <v>40</v>
      </c>
      <c r="I3" s="2" t="s">
        <v>56</v>
      </c>
      <c r="J3" s="2" t="s">
        <v>57</v>
      </c>
    </row>
    <row r="4" spans="2:10">
      <c r="B4" s="6">
        <v>0</v>
      </c>
      <c r="C4" t="s">
        <v>33</v>
      </c>
      <c r="D4" t="s">
        <v>41</v>
      </c>
      <c r="E4">
        <v>0</v>
      </c>
      <c r="G4">
        <v>2.51</v>
      </c>
      <c r="H4">
        <v>1.16</v>
      </c>
      <c r="I4" s="2" t="s">
        <v>44</v>
      </c>
      <c r="J4" s="2" t="s">
        <v>48</v>
      </c>
    </row>
    <row r="5" spans="2:10">
      <c r="B5" s="6">
        <v>1</v>
      </c>
      <c r="C5" t="s">
        <v>34</v>
      </c>
      <c r="D5" t="s">
        <v>41</v>
      </c>
      <c r="E5">
        <v>0</v>
      </c>
      <c r="G5">
        <v>2.51</v>
      </c>
      <c r="H5">
        <v>1.23</v>
      </c>
      <c r="I5" s="2" t="s">
        <v>44</v>
      </c>
      <c r="J5" s="2" t="s">
        <v>49</v>
      </c>
    </row>
    <row r="6" spans="2:10">
      <c r="B6" s="6">
        <v>2</v>
      </c>
      <c r="C6" t="s">
        <v>35</v>
      </c>
      <c r="E6">
        <v>7.214</v>
      </c>
      <c r="G6">
        <v>193400000</v>
      </c>
      <c r="H6">
        <v>14386859.04</v>
      </c>
      <c r="I6" s="2" t="s">
        <v>45</v>
      </c>
      <c r="J6" s="2" t="s">
        <v>50</v>
      </c>
    </row>
    <row r="7" spans="2:10">
      <c r="B7" s="6">
        <v>3</v>
      </c>
      <c r="C7" t="s">
        <v>36</v>
      </c>
      <c r="D7" t="s">
        <v>42</v>
      </c>
      <c r="E7">
        <v>1.745</v>
      </c>
      <c r="G7">
        <v>4.578</v>
      </c>
      <c r="H7">
        <v>2.72</v>
      </c>
      <c r="I7" s="2" t="s">
        <v>46</v>
      </c>
      <c r="J7" s="2" t="s">
        <v>51</v>
      </c>
    </row>
    <row r="8" spans="2:10">
      <c r="B8" s="6">
        <v>4</v>
      </c>
      <c r="C8" t="s">
        <v>37</v>
      </c>
      <c r="D8" t="s">
        <v>43</v>
      </c>
      <c r="E8">
        <v>3.874</v>
      </c>
      <c r="G8">
        <v>8728</v>
      </c>
      <c r="H8">
        <v>303.42</v>
      </c>
      <c r="I8" s="2" t="s">
        <v>47</v>
      </c>
      <c r="J8" s="2" t="s">
        <v>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J8"/>
  <sheetViews>
    <sheetView workbookViewId="0"/>
  </sheetViews>
  <sheetFormatPr defaultRowHeight="15"/>
  <cols>
    <col min="9" max="10" width="100.7109375" style="2" customWidth="1"/>
  </cols>
  <sheetData>
    <row r="1" spans="2:10">
      <c r="B1" s="7" t="s">
        <v>70</v>
      </c>
    </row>
    <row r="3" spans="2:10">
      <c r="B3" t="s">
        <v>20</v>
      </c>
      <c r="C3" t="s">
        <v>53</v>
      </c>
      <c r="D3" t="s">
        <v>54</v>
      </c>
      <c r="E3" t="s">
        <v>39</v>
      </c>
      <c r="F3" t="s">
        <v>55</v>
      </c>
      <c r="G3" t="s">
        <v>38</v>
      </c>
      <c r="H3" t="s">
        <v>40</v>
      </c>
      <c r="I3" s="2" t="s">
        <v>56</v>
      </c>
      <c r="J3" s="2" t="s">
        <v>57</v>
      </c>
    </row>
    <row r="4" spans="2:10">
      <c r="B4" s="6">
        <v>0</v>
      </c>
      <c r="C4" t="s">
        <v>33</v>
      </c>
      <c r="D4" t="s">
        <v>41</v>
      </c>
      <c r="E4">
        <v>0.471</v>
      </c>
      <c r="G4">
        <v>2.51</v>
      </c>
      <c r="H4">
        <v>1.3</v>
      </c>
      <c r="I4" s="2" t="s">
        <v>58</v>
      </c>
      <c r="J4" s="2" t="s">
        <v>48</v>
      </c>
    </row>
    <row r="5" spans="2:10">
      <c r="B5" s="6">
        <v>1</v>
      </c>
      <c r="C5" t="s">
        <v>34</v>
      </c>
      <c r="D5" t="s">
        <v>41</v>
      </c>
      <c r="E5">
        <v>0.471</v>
      </c>
      <c r="G5">
        <v>2.51</v>
      </c>
      <c r="H5">
        <v>1.38</v>
      </c>
      <c r="I5" s="2" t="s">
        <v>46</v>
      </c>
      <c r="J5" s="2" t="s">
        <v>49</v>
      </c>
    </row>
    <row r="6" spans="2:10">
      <c r="B6" s="6">
        <v>2</v>
      </c>
      <c r="C6" t="s">
        <v>35</v>
      </c>
      <c r="E6">
        <v>7.214</v>
      </c>
      <c r="G6">
        <v>73.23</v>
      </c>
      <c r="H6">
        <v>32.68</v>
      </c>
      <c r="I6" s="2" t="s">
        <v>45</v>
      </c>
      <c r="J6" s="2" t="s">
        <v>59</v>
      </c>
    </row>
    <row r="7" spans="2:10">
      <c r="B7" s="6">
        <v>3</v>
      </c>
      <c r="C7" t="s">
        <v>36</v>
      </c>
      <c r="D7" t="s">
        <v>42</v>
      </c>
      <c r="E7">
        <v>1.745</v>
      </c>
      <c r="G7">
        <v>3.289</v>
      </c>
      <c r="H7">
        <v>2.57</v>
      </c>
      <c r="I7" s="2" t="s">
        <v>46</v>
      </c>
      <c r="J7" s="2" t="s">
        <v>60</v>
      </c>
    </row>
    <row r="8" spans="2:10">
      <c r="B8" s="6">
        <v>4</v>
      </c>
      <c r="C8" t="s">
        <v>37</v>
      </c>
      <c r="D8" t="s">
        <v>43</v>
      </c>
      <c r="E8">
        <v>3.874</v>
      </c>
      <c r="G8">
        <v>594.4</v>
      </c>
      <c r="H8">
        <v>91.77</v>
      </c>
      <c r="I8" s="2" t="s">
        <v>47</v>
      </c>
      <c r="J8" s="2" t="s">
        <v>61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B3:J8"/>
  <sheetViews>
    <sheetView workbookViewId="0"/>
  </sheetViews>
  <sheetFormatPr defaultRowHeight="15"/>
  <cols>
    <col min="9" max="10" width="100.7109375" style="2" customWidth="1"/>
  </cols>
  <sheetData>
    <row r="3" spans="2:10">
      <c r="B3" t="s">
        <v>20</v>
      </c>
      <c r="C3" t="s">
        <v>53</v>
      </c>
      <c r="D3" t="s">
        <v>54</v>
      </c>
      <c r="E3" t="s">
        <v>39</v>
      </c>
      <c r="F3" t="s">
        <v>55</v>
      </c>
      <c r="G3" t="s">
        <v>38</v>
      </c>
      <c r="H3" t="s">
        <v>40</v>
      </c>
      <c r="I3" s="2" t="s">
        <v>56</v>
      </c>
      <c r="J3" s="2" t="s">
        <v>57</v>
      </c>
    </row>
    <row r="4" spans="2:10">
      <c r="B4" s="6">
        <v>0</v>
      </c>
      <c r="C4" t="s">
        <v>33</v>
      </c>
      <c r="D4" t="s">
        <v>41</v>
      </c>
      <c r="E4">
        <v>0</v>
      </c>
      <c r="G4">
        <v>2.51</v>
      </c>
      <c r="H4">
        <v>1.16</v>
      </c>
      <c r="I4" s="8" t="s">
        <v>44</v>
      </c>
      <c r="J4" s="8" t="s">
        <v>48</v>
      </c>
    </row>
    <row r="5" spans="2:10">
      <c r="B5" s="6">
        <v>1</v>
      </c>
      <c r="C5" t="s">
        <v>34</v>
      </c>
      <c r="D5" t="s">
        <v>41</v>
      </c>
      <c r="E5">
        <v>0</v>
      </c>
      <c r="G5">
        <v>2.51</v>
      </c>
      <c r="H5">
        <v>1.23</v>
      </c>
      <c r="I5" s="8" t="s">
        <v>44</v>
      </c>
      <c r="J5" s="8" t="s">
        <v>49</v>
      </c>
    </row>
    <row r="6" spans="2:10">
      <c r="B6" s="6">
        <v>2</v>
      </c>
      <c r="C6" t="s">
        <v>35</v>
      </c>
      <c r="E6">
        <v>7.214</v>
      </c>
      <c r="G6">
        <v>193400000</v>
      </c>
      <c r="H6">
        <v>14386859.04</v>
      </c>
      <c r="I6" s="8" t="s">
        <v>45</v>
      </c>
      <c r="J6" s="8" t="s">
        <v>50</v>
      </c>
    </row>
    <row r="7" spans="2:10">
      <c r="B7" s="6">
        <v>3</v>
      </c>
      <c r="C7" t="s">
        <v>36</v>
      </c>
      <c r="D7" t="s">
        <v>42</v>
      </c>
      <c r="E7">
        <v>1.745</v>
      </c>
      <c r="G7">
        <v>4.578</v>
      </c>
      <c r="H7">
        <v>2.72</v>
      </c>
      <c r="I7" s="8" t="s">
        <v>46</v>
      </c>
      <c r="J7" s="8" t="s">
        <v>51</v>
      </c>
    </row>
    <row r="8" spans="2:10">
      <c r="B8" s="6">
        <v>4</v>
      </c>
      <c r="C8" t="s">
        <v>37</v>
      </c>
      <c r="D8" t="s">
        <v>43</v>
      </c>
      <c r="E8">
        <v>3.874</v>
      </c>
      <c r="G8">
        <v>8728</v>
      </c>
      <c r="H8">
        <v>303.42</v>
      </c>
      <c r="I8" s="8" t="s">
        <v>47</v>
      </c>
      <c r="J8" s="8" t="s">
        <v>52</v>
      </c>
    </row>
  </sheetData>
  <hyperlinks>
    <hyperlink ref="I4" location="Corners!O8" display="Point=1.0;Corner=FF_0;RES=-3.0;CAP=-3.0;DIO=-3.0;VDD=2.9;BIAS=10.0;A=255.0;B=128.0;TEMP=-35.0;Set=ff"/>
    <hyperlink ref="J4" location="Corners!O154" display="Point=10.0;Corner=SS_2;RES=3.0;CAP=3.0;DIO=3.0;VDD=3.3;BIAS=90.0;A=255.0;B=128.0;TEMP=90.0;Set=ss"/>
    <hyperlink ref="I5" location="Corners!P8" display="Point=1.0;Corner=FF_0;RES=-3.0;CAP=-3.0;DIO=-3.0;VDD=2.9;BIAS=10.0;A=255.0;B=128.0;TEMP=-35.0;Set=ff"/>
    <hyperlink ref="J5" location="Corners!P169" display="Point=11.0;Corner=SS_2;RES=3.0;CAP=3.0;DIO=3.0;VDD=3.3;BIAS=90.0;A=128.0;B=255.0;TEMP=90.0;Set=ss"/>
    <hyperlink ref="I6" location="Corners!Q107" display="Point=7.0;Corner=SS_0;RES=3.0;CAP=3.0;DIO=3.0;VDD=3.0;BIAS=90.0;A=255.0;B=128.0;TEMP=-35.0;Set=ss"/>
    <hyperlink ref="J6" location="Corners!Q68" display="Point=5.0;Corner=FF_0;RES=-3.0;CAP=-3.0;DIO=-3.0;VDD=2.9;BIAS=90.0;A=128.0;B=255.0;TEMP=-35.0;Set=ff"/>
    <hyperlink ref="I7" location="Corners!R98" display="Point=7.0;Corner=FF_0;RES=-3.0;CAP=-3.0;DIO=-3.0;VDD=3.0;BIAS=90.0;A=255.0;B=128.0;TEMP=-35.0;Set=ff"/>
    <hyperlink ref="J7" location="Corners!R17" display="Point=1.0;Corner=SS_0;RES=3.0;CAP=3.0;DIO=3.0;VDD=2.9;BIAS=10.0;A=255.0;B=128.0;TEMP=-35.0;Set=ss"/>
    <hyperlink ref="I8" location="Corners!S188" display="Point=13.0;Corner=FF_0;RES=-3.0;CAP=-3.0;DIO=-3.0;VDD=4.9;BIAS=90.0;A=255.0;B=128.0;TEMP=-35.0;Set=ff"/>
    <hyperlink ref="J8" location="Corners!S74" display="Point=5.0;Corner=SF_0;RES=0.0;CAP=0.0;DIO=0.0;VDD=2.9;BIAS=90.0;A=128.0;B=255.0;TEMP=-35.0;Set=sf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B1:J8"/>
  <sheetViews>
    <sheetView workbookViewId="0"/>
  </sheetViews>
  <sheetFormatPr defaultRowHeight="15"/>
  <cols>
    <col min="9" max="10" width="100.7109375" style="2" customWidth="1"/>
  </cols>
  <sheetData>
    <row r="1" spans="2:10">
      <c r="B1" s="7" t="s">
        <v>70</v>
      </c>
    </row>
    <row r="3" spans="2:10">
      <c r="B3" t="s">
        <v>20</v>
      </c>
      <c r="C3" t="s">
        <v>53</v>
      </c>
      <c r="D3" t="s">
        <v>54</v>
      </c>
      <c r="E3" t="s">
        <v>39</v>
      </c>
      <c r="F3" t="s">
        <v>55</v>
      </c>
      <c r="G3" t="s">
        <v>38</v>
      </c>
      <c r="H3" t="s">
        <v>40</v>
      </c>
      <c r="I3" s="2" t="s">
        <v>56</v>
      </c>
      <c r="J3" s="2" t="s">
        <v>57</v>
      </c>
    </row>
    <row r="4" spans="2:10">
      <c r="B4" s="6">
        <v>0</v>
      </c>
      <c r="C4" t="s">
        <v>33</v>
      </c>
      <c r="D4" t="s">
        <v>41</v>
      </c>
      <c r="E4">
        <v>0.471</v>
      </c>
      <c r="G4">
        <v>2.51</v>
      </c>
      <c r="H4">
        <v>1.3</v>
      </c>
      <c r="I4" s="8" t="s">
        <v>58</v>
      </c>
      <c r="J4" s="8" t="s">
        <v>48</v>
      </c>
    </row>
    <row r="5" spans="2:10">
      <c r="B5" s="6">
        <v>1</v>
      </c>
      <c r="C5" t="s">
        <v>34</v>
      </c>
      <c r="D5" t="s">
        <v>41</v>
      </c>
      <c r="E5">
        <v>0.471</v>
      </c>
      <c r="G5">
        <v>2.51</v>
      </c>
      <c r="H5">
        <v>1.38</v>
      </c>
      <c r="I5" s="8" t="s">
        <v>46</v>
      </c>
      <c r="J5" s="8" t="s">
        <v>49</v>
      </c>
    </row>
    <row r="6" spans="2:10">
      <c r="B6" s="6">
        <v>2</v>
      </c>
      <c r="C6" t="s">
        <v>35</v>
      </c>
      <c r="E6">
        <v>7.214</v>
      </c>
      <c r="G6">
        <v>73.23</v>
      </c>
      <c r="H6">
        <v>32.68</v>
      </c>
      <c r="I6" s="8" t="s">
        <v>45</v>
      </c>
      <c r="J6" s="8" t="s">
        <v>59</v>
      </c>
    </row>
    <row r="7" spans="2:10">
      <c r="B7" s="6">
        <v>3</v>
      </c>
      <c r="C7" t="s">
        <v>36</v>
      </c>
      <c r="D7" t="s">
        <v>42</v>
      </c>
      <c r="E7">
        <v>1.745</v>
      </c>
      <c r="G7">
        <v>3.289</v>
      </c>
      <c r="H7">
        <v>2.57</v>
      </c>
      <c r="I7" s="8" t="s">
        <v>46</v>
      </c>
      <c r="J7" s="8" t="s">
        <v>60</v>
      </c>
    </row>
    <row r="8" spans="2:10">
      <c r="B8" s="6">
        <v>4</v>
      </c>
      <c r="C8" t="s">
        <v>37</v>
      </c>
      <c r="D8" t="s">
        <v>43</v>
      </c>
      <c r="E8">
        <v>3.874</v>
      </c>
      <c r="G8">
        <v>594.4</v>
      </c>
      <c r="H8">
        <v>91.77</v>
      </c>
      <c r="I8" s="8" t="s">
        <v>47</v>
      </c>
      <c r="J8" s="8" t="s">
        <v>61</v>
      </c>
    </row>
  </sheetData>
  <hyperlinks>
    <hyperlink ref="I4" location="Corners!O113" display="Point=8.0;Corner=FF_0;RES=-3.0;CAP=-3.0;DIO=-3.0;VDD=3.0;BIAS=90.0;A=128.0;B=255.0;TEMP=-35.0;Set=ff"/>
    <hyperlink ref="J4" location="Corners!O154" display="Point=10.0;Corner=SS_2;RES=3.0;CAP=3.0;DIO=3.0;VDD=3.3;BIAS=90.0;A=255.0;B=128.0;TEMP=90.0;Set=ss"/>
    <hyperlink ref="I5" location="Corners!P98" display="Point=7.0;Corner=FF_0;RES=-3.0;CAP=-3.0;DIO=-3.0;VDD=3.0;BIAS=90.0;A=255.0;B=128.0;TEMP=-35.0;Set=ff"/>
    <hyperlink ref="J5" location="Corners!P169" display="Point=11.0;Corner=SS_2;RES=3.0;CAP=3.0;DIO=3.0;VDD=3.3;BIAS=90.0;A=128.0;B=255.0;TEMP=90.0;Set=ss"/>
    <hyperlink ref="I6" location="Corners!Q107" display="Point=7.0;Corner=SS_0;RES=3.0;CAP=3.0;DIO=3.0;VDD=3.0;BIAS=90.0;A=255.0;B=128.0;TEMP=-35.0;Set=ss"/>
    <hyperlink ref="J6" location="Corners!Q194" display="Point=13.0;Corner=SF_0;RES=0.0;CAP=0.0;DIO=0.0;VDD=4.9;BIAS=90.0;A=255.0;B=128.0;TEMP=-35.0;Set=sf"/>
    <hyperlink ref="I7" location="Corners!R98" display="Point=7.0;Corner=FF_0;RES=-3.0;CAP=-3.0;DIO=-3.0;VDD=3.0;BIAS=90.0;A=255.0;B=128.0;TEMP=-35.0;Set=ff"/>
    <hyperlink ref="J7" location="Corners!R152" display="Point=10.0;Corner=SS_0;RES=3.0;CAP=3.0;DIO=3.0;VDD=3.3;BIAS=90.0;A=255.0;B=128.0;TEMP=-35.0;Set=ss"/>
    <hyperlink ref="I8" location="Corners!S188" display="Point=13.0;Corner=FF_0;RES=-3.0;CAP=-3.0;DIO=-3.0;VDD=4.9;BIAS=90.0;A=255.0;B=128.0;TEMP=-35.0;Set=ff"/>
    <hyperlink ref="J8" location="Corners!S131" display="Point=9.0;Corner=FS_0;RES=0.0;CAP=0.0;DIO=0.0;VDD=3.0;BIAS=90.0;A=128.0;B=160.0;TEMP=-35.0;Set=fs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Corners</vt:lpstr>
      <vt:lpstr>EC Table</vt:lpstr>
      <vt:lpstr>EC 1</vt:lpstr>
      <vt:lpstr>EC w Links</vt:lpstr>
      <vt:lpstr>ECL 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2023-08-24T07:30:13Z</dcterms:created>
  <dcterms:modified xsi:type="dcterms:W3CDTF">2023-08-24T07:30:13Z</dcterms:modified>
</cp:coreProperties>
</file>